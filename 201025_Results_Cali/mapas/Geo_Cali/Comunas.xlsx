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01025_Results_Cali/mapas/Geo_Cali/"/>
    </mc:Choice>
  </mc:AlternateContent>
  <xr:revisionPtr revIDLastSave="13" documentId="13_ncr:1_{90AC51B1-A7F6-4240-B42A-7AC06C0B2AF0}" xr6:coauthVersionLast="47" xr6:coauthVersionMax="47" xr10:uidLastSave="{A1606E59-495F-4C9E-A8C7-D0D26E418751}"/>
  <bookViews>
    <workbookView xWindow="-108" yWindow="-108" windowWidth="23256" windowHeight="12456" xr2:uid="{0B915248-85A3-8B4D-BC75-7086951E584C}"/>
  </bookViews>
  <sheets>
    <sheet name="Hoja2" sheetId="4" r:id="rId1"/>
    <sheet name="Resumen" sheetId="2" r:id="rId2"/>
    <sheet name="Poblacio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23" i="2"/>
  <c r="B22" i="2"/>
  <c r="B21" i="2"/>
  <c r="B20" i="2"/>
  <c r="B19" i="2"/>
  <c r="B18" i="2"/>
  <c r="B17" i="2"/>
  <c r="B16" i="2"/>
  <c r="B15" i="2"/>
  <c r="B14" i="2"/>
  <c r="B13" i="2"/>
  <c r="B12" i="2"/>
  <c r="B10" i="2"/>
  <c r="B11" i="2"/>
  <c r="B9" i="2"/>
  <c r="B8" i="2"/>
  <c r="B7" i="2"/>
  <c r="B6" i="2"/>
  <c r="B5" i="2"/>
  <c r="B4" i="2"/>
  <c r="B3" i="2"/>
  <c r="A2" i="2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<sst xmlns="http://schemas.openxmlformats.org/spreadsheetml/2006/main" count="431" uniqueCount="40">
  <si>
    <t>Comuna 1</t>
  </si>
  <si>
    <t>Variable</t>
  </si>
  <si>
    <t>Hombre</t>
  </si>
  <si>
    <t>Mujer</t>
  </si>
  <si>
    <t>Personas</t>
  </si>
  <si>
    <t>Porcentaje</t>
  </si>
  <si>
    <t>Unidad</t>
  </si>
  <si>
    <t>Valor</t>
  </si>
  <si>
    <r>
      <t xml:space="preserve">Grupos de edad </t>
    </r>
    <r>
      <rPr>
        <sz val="12"/>
        <color theme="1"/>
        <rFont val="Aptos Narrow"/>
        <scheme val="minor"/>
      </rPr>
      <t>(años)</t>
    </r>
  </si>
  <si>
    <t>Niños (0 - 14)</t>
  </si>
  <si>
    <t>Jóvenes (15 - 24)</t>
  </si>
  <si>
    <t>Adultos (25 - 59)</t>
  </si>
  <si>
    <t>Mayores (60 y +)</t>
  </si>
  <si>
    <t>Comuna 2</t>
  </si>
  <si>
    <t>Comuna 3</t>
  </si>
  <si>
    <t>Comuna 4</t>
  </si>
  <si>
    <t>Comuna 5</t>
  </si>
  <si>
    <t>Comuna 6</t>
  </si>
  <si>
    <t>Comuna 8</t>
  </si>
  <si>
    <t>Comuna 7</t>
  </si>
  <si>
    <t>Comuna 9</t>
  </si>
  <si>
    <t>Comuna 10</t>
  </si>
  <si>
    <t>Comuna 11</t>
  </si>
  <si>
    <t>Comuna 12</t>
  </si>
  <si>
    <t>Comuna 13</t>
  </si>
  <si>
    <t>Comuna 14</t>
  </si>
  <si>
    <t>Comuna 15</t>
  </si>
  <si>
    <t>Comuna 16</t>
  </si>
  <si>
    <t>Comuna 17</t>
  </si>
  <si>
    <t>Comuna 18</t>
  </si>
  <si>
    <t>Comuna 19</t>
  </si>
  <si>
    <t>Comuna 20</t>
  </si>
  <si>
    <t>Comuna 21</t>
  </si>
  <si>
    <t>Comuna 22</t>
  </si>
  <si>
    <t>Población</t>
  </si>
  <si>
    <t>Género y Edad de SISBEN III 2020
Población de Datos Generales</t>
  </si>
  <si>
    <t>Comuna</t>
  </si>
  <si>
    <t>Hombres</t>
  </si>
  <si>
    <t>Mujeres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</si>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</sst>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family val="2"/>
      <scheme val="minor"/>
    </font>
    <font>
      <b/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0" fontId="0" fillId="0" borderId="0" xfId="1" applyNumberFormat="1" applyFont="1"/>
    <xf numFmtId="164" fontId="0" fillId="0" borderId="1" xfId="1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4AEA-7660-4339-AD2F-D0048FAF0C07}">
  <dimension ref="A1:D23"/>
  <sheetViews>
    <sheetView tabSelected="1" workbookViewId="0">
      <selection activeCell="K7" sqref="K7"/>
    </sheetView>
  </sheetViews>
  <sheetFormatPr baseColWidth="10" defaultRowHeight="15.6" x14ac:dyDescent="0.3"/>
  <sheetData>
    <row r="1" spans="1:4" x14ac:dyDescent="0.3">
      <c r="A1" t="s">
        <v>36</v>
      </c>
      <c r="B1" t="s">
        <v>39</v>
      </c>
      <c r="C1" t="s">
        <v>37</v>
      </c>
      <c r="D1" t="s">
        <v>38</v>
      </c>
    </row>
    <row r="2" spans="1:4" x14ac:dyDescent="0.3">
      <c r="A2">
        <v>1</v>
      </c>
      <c r="B2">
        <v>60799</v>
      </c>
      <c r="C2">
        <v>0.46799999999999997</v>
      </c>
      <c r="D2">
        <v>0.53200000000000003</v>
      </c>
    </row>
    <row r="3" spans="1:4" x14ac:dyDescent="0.3">
      <c r="A3">
        <v>2</v>
      </c>
      <c r="B3">
        <v>118956</v>
      </c>
      <c r="C3">
        <v>0.46200000000000002</v>
      </c>
      <c r="D3">
        <v>0.53799999999999992</v>
      </c>
    </row>
    <row r="4" spans="1:4" x14ac:dyDescent="0.3">
      <c r="A4">
        <v>3</v>
      </c>
      <c r="B4">
        <v>33652</v>
      </c>
      <c r="C4">
        <v>0.48799999999999999</v>
      </c>
      <c r="D4">
        <v>0.51200000000000001</v>
      </c>
    </row>
    <row r="5" spans="1:4" x14ac:dyDescent="0.3">
      <c r="A5">
        <v>4</v>
      </c>
      <c r="B5">
        <v>56189</v>
      </c>
      <c r="C5">
        <v>0.46200000000000002</v>
      </c>
      <c r="D5">
        <v>0.53799999999999992</v>
      </c>
    </row>
    <row r="6" spans="1:4" x14ac:dyDescent="0.3">
      <c r="A6">
        <v>5</v>
      </c>
      <c r="B6">
        <v>114776</v>
      </c>
      <c r="C6">
        <v>0.44299999999999995</v>
      </c>
      <c r="D6">
        <v>0.55700000000000005</v>
      </c>
    </row>
    <row r="7" spans="1:4" x14ac:dyDescent="0.3">
      <c r="A7">
        <v>6</v>
      </c>
      <c r="B7">
        <v>154154</v>
      </c>
      <c r="C7">
        <v>0.46100000000000002</v>
      </c>
      <c r="D7">
        <v>0.53900000000000003</v>
      </c>
    </row>
    <row r="8" spans="1:4" x14ac:dyDescent="0.3">
      <c r="A8">
        <v>7</v>
      </c>
      <c r="B8">
        <v>71049</v>
      </c>
      <c r="C8">
        <v>0.45899999999999996</v>
      </c>
      <c r="D8">
        <v>0.54100000000000004</v>
      </c>
    </row>
    <row r="9" spans="1:4" x14ac:dyDescent="0.3">
      <c r="A9">
        <v>8</v>
      </c>
      <c r="B9">
        <v>100226</v>
      </c>
      <c r="C9">
        <v>0.45299999999999996</v>
      </c>
      <c r="D9">
        <v>0.54700000000000004</v>
      </c>
    </row>
    <row r="10" spans="1:4" x14ac:dyDescent="0.3">
      <c r="A10">
        <v>9</v>
      </c>
      <c r="B10">
        <v>37165</v>
      </c>
      <c r="C10">
        <v>0.47600000000000003</v>
      </c>
      <c r="D10">
        <v>0.52400000000000002</v>
      </c>
    </row>
    <row r="11" spans="1:4" x14ac:dyDescent="0.3">
      <c r="A11">
        <v>10</v>
      </c>
      <c r="B11">
        <v>104729</v>
      </c>
      <c r="C11">
        <v>0.44900000000000001</v>
      </c>
      <c r="D11">
        <v>0.55100000000000005</v>
      </c>
    </row>
    <row r="12" spans="1:4" x14ac:dyDescent="0.3">
      <c r="A12">
        <v>11</v>
      </c>
      <c r="B12">
        <v>111204</v>
      </c>
      <c r="C12">
        <v>0.45600000000000002</v>
      </c>
      <c r="D12">
        <v>0.54400000000000004</v>
      </c>
    </row>
    <row r="13" spans="1:4" x14ac:dyDescent="0.3">
      <c r="A13">
        <v>12</v>
      </c>
      <c r="B13">
        <v>69956</v>
      </c>
      <c r="C13">
        <v>0.46</v>
      </c>
      <c r="D13">
        <v>0.54</v>
      </c>
    </row>
    <row r="14" spans="1:4" x14ac:dyDescent="0.3">
      <c r="A14">
        <v>13</v>
      </c>
      <c r="B14">
        <v>145047</v>
      </c>
      <c r="C14">
        <v>0.46100000000000002</v>
      </c>
      <c r="D14">
        <v>0.53900000000000003</v>
      </c>
    </row>
    <row r="15" spans="1:4" x14ac:dyDescent="0.3">
      <c r="A15">
        <v>14</v>
      </c>
      <c r="B15">
        <v>157639</v>
      </c>
      <c r="C15">
        <v>0.46</v>
      </c>
      <c r="D15">
        <v>0.54</v>
      </c>
    </row>
    <row r="16" spans="1:4" x14ac:dyDescent="0.3">
      <c r="A16">
        <v>15</v>
      </c>
      <c r="B16">
        <v>126766</v>
      </c>
      <c r="C16">
        <v>0.45299999999999996</v>
      </c>
      <c r="D16">
        <v>0.54700000000000004</v>
      </c>
    </row>
    <row r="17" spans="1:4" x14ac:dyDescent="0.3">
      <c r="A17">
        <v>16</v>
      </c>
      <c r="B17">
        <v>99041</v>
      </c>
      <c r="C17">
        <v>0.46</v>
      </c>
      <c r="D17">
        <v>0.54</v>
      </c>
    </row>
    <row r="18" spans="1:4" x14ac:dyDescent="0.3">
      <c r="A18">
        <v>17</v>
      </c>
      <c r="B18">
        <v>168998</v>
      </c>
      <c r="C18">
        <v>0.43099999999999999</v>
      </c>
      <c r="D18">
        <v>0.56899999999999995</v>
      </c>
    </row>
    <row r="19" spans="1:4" x14ac:dyDescent="0.3">
      <c r="A19">
        <v>18</v>
      </c>
      <c r="B19">
        <v>115529</v>
      </c>
      <c r="C19">
        <v>0.46500000000000002</v>
      </c>
      <c r="D19">
        <v>0.53500000000000003</v>
      </c>
    </row>
    <row r="20" spans="1:4" x14ac:dyDescent="0.3">
      <c r="A20">
        <v>19</v>
      </c>
      <c r="B20">
        <v>111310</v>
      </c>
      <c r="C20">
        <v>0.46600000000000003</v>
      </c>
      <c r="D20">
        <v>0.53400000000000003</v>
      </c>
    </row>
    <row r="21" spans="1:4" x14ac:dyDescent="0.3">
      <c r="A21">
        <v>20</v>
      </c>
      <c r="B21">
        <v>58827</v>
      </c>
      <c r="C21">
        <v>0.47</v>
      </c>
      <c r="D21">
        <v>0.53</v>
      </c>
    </row>
    <row r="22" spans="1:4" x14ac:dyDescent="0.3">
      <c r="A22">
        <v>21</v>
      </c>
      <c r="B22">
        <v>132544</v>
      </c>
      <c r="C22">
        <v>0.45799999999999996</v>
      </c>
      <c r="D22">
        <v>0.54200000000000004</v>
      </c>
    </row>
    <row r="23" spans="1:4" x14ac:dyDescent="0.3">
      <c r="A23">
        <v>22</v>
      </c>
      <c r="B23">
        <v>26104</v>
      </c>
      <c r="C23">
        <v>0.498</v>
      </c>
      <c r="D23">
        <v>0.502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0366-E62E-8B41-9550-BAB238020BDD}">
  <dimension ref="A1:W24"/>
  <sheetViews>
    <sheetView workbookViewId="0">
      <selection activeCell="N18" sqref="N18"/>
    </sheetView>
  </sheetViews>
  <sheetFormatPr baseColWidth="10" defaultRowHeight="15.6" x14ac:dyDescent="0.3"/>
  <cols>
    <col min="1" max="1" width="8.19921875" bestFit="1" customWidth="1"/>
    <col min="2" max="2" width="10" bestFit="1" customWidth="1"/>
    <col min="3" max="3" width="9.19921875" bestFit="1" customWidth="1"/>
    <col min="4" max="4" width="8.296875" bestFit="1" customWidth="1"/>
    <col min="5" max="5" width="12.5" bestFit="1" customWidth="1"/>
    <col min="6" max="6" width="15.296875" bestFit="1" customWidth="1"/>
    <col min="7" max="7" width="15" bestFit="1" customWidth="1"/>
    <col min="8" max="8" width="14.796875" bestFit="1" customWidth="1"/>
  </cols>
  <sheetData>
    <row r="1" spans="1:23" x14ac:dyDescent="0.3">
      <c r="A1" s="6" t="s">
        <v>36</v>
      </c>
      <c r="B1" s="5" t="s">
        <v>34</v>
      </c>
      <c r="C1" s="5" t="s">
        <v>37</v>
      </c>
      <c r="D1" s="5" t="s">
        <v>38</v>
      </c>
      <c r="E1" s="5" t="s">
        <v>9</v>
      </c>
      <c r="F1" s="5" t="s">
        <v>10</v>
      </c>
      <c r="G1" s="5" t="s">
        <v>11</v>
      </c>
      <c r="H1" s="5" t="s">
        <v>12</v>
      </c>
    </row>
    <row r="2" spans="1:23" x14ac:dyDescent="0.3">
      <c r="A2" s="5" cm="1">
        <f t="array" ref="A2:A23">_xlfn.SEQUENCE(22)</f>
        <v>1</v>
      </c>
      <c r="B2" s="7">
        <f>Poblacion!$D6</f>
        <v>60799</v>
      </c>
      <c r="C2" s="9">
        <v>0.46799999999999997</v>
      </c>
      <c r="D2" s="9">
        <v>0.53200000000000003</v>
      </c>
      <c r="E2" s="9">
        <v>0.25600000000000001</v>
      </c>
      <c r="F2" s="9">
        <v>0.19899999999999998</v>
      </c>
      <c r="G2" s="9">
        <v>0.46</v>
      </c>
      <c r="H2" s="9">
        <v>8.4000000000000005E-2</v>
      </c>
      <c r="I2" s="8"/>
      <c r="J2" s="8"/>
      <c r="K2" s="8"/>
      <c r="L2" s="8"/>
      <c r="M2" s="8"/>
      <c r="N2" s="8"/>
    </row>
    <row r="3" spans="1:23" x14ac:dyDescent="0.3">
      <c r="A3" s="5">
        <v>2</v>
      </c>
      <c r="B3" s="7">
        <f>Poblacion!H6</f>
        <v>118956</v>
      </c>
      <c r="C3" s="9">
        <v>0.46200000000000002</v>
      </c>
      <c r="D3" s="9">
        <v>0.53799999999999992</v>
      </c>
      <c r="E3" s="9">
        <v>0.26</v>
      </c>
      <c r="F3" s="9">
        <v>0.19899999999999998</v>
      </c>
      <c r="G3" s="9">
        <v>0.44799999999999995</v>
      </c>
      <c r="H3" s="9">
        <v>9.3000000000000013E-2</v>
      </c>
      <c r="I3" s="8"/>
      <c r="J3" s="8"/>
      <c r="K3" s="8"/>
      <c r="L3" s="8"/>
      <c r="M3" s="8"/>
      <c r="N3" s="8"/>
    </row>
    <row r="4" spans="1:23" x14ac:dyDescent="0.3">
      <c r="A4" s="5">
        <v>3</v>
      </c>
      <c r="B4" s="7">
        <f>Poblacion!L6</f>
        <v>33652</v>
      </c>
      <c r="C4" s="9">
        <v>0.48799999999999999</v>
      </c>
      <c r="D4" s="9">
        <v>0.51200000000000001</v>
      </c>
      <c r="E4" s="9">
        <v>0.21100000000000002</v>
      </c>
      <c r="F4" s="9">
        <v>0.17100000000000001</v>
      </c>
      <c r="G4" s="9">
        <v>0.47299999999999998</v>
      </c>
      <c r="H4" s="9">
        <v>0.14400000000000002</v>
      </c>
      <c r="I4" s="8"/>
      <c r="J4" s="8"/>
      <c r="K4" s="8"/>
      <c r="L4" s="8"/>
      <c r="M4" s="8"/>
      <c r="N4" s="8"/>
    </row>
    <row r="5" spans="1:23" x14ac:dyDescent="0.3">
      <c r="A5" s="5">
        <v>4</v>
      </c>
      <c r="B5" s="7">
        <f>Poblacion!P6</f>
        <v>56189</v>
      </c>
      <c r="C5" s="9">
        <v>0.46200000000000002</v>
      </c>
      <c r="D5" s="9">
        <v>0.53799999999999992</v>
      </c>
      <c r="E5" s="9">
        <v>0.20800000000000002</v>
      </c>
      <c r="F5" s="9">
        <v>0.185</v>
      </c>
      <c r="G5" s="9">
        <v>0.48100000000000004</v>
      </c>
      <c r="H5" s="9">
        <v>0.125</v>
      </c>
      <c r="I5" s="8"/>
      <c r="J5" s="8"/>
      <c r="K5" s="8"/>
      <c r="L5" s="8"/>
      <c r="M5" s="8"/>
      <c r="N5" s="8"/>
    </row>
    <row r="6" spans="1:23" x14ac:dyDescent="0.3">
      <c r="A6" s="5">
        <v>5</v>
      </c>
      <c r="B6" s="7">
        <f>Poblacion!D17</f>
        <v>114776</v>
      </c>
      <c r="C6" s="9">
        <v>0.44299999999999995</v>
      </c>
      <c r="D6" s="9">
        <v>0.55700000000000005</v>
      </c>
      <c r="E6" s="9">
        <v>0.16899999999999998</v>
      </c>
      <c r="F6" s="9">
        <v>0.17300000000000001</v>
      </c>
      <c r="G6" s="9">
        <v>0.53500000000000003</v>
      </c>
      <c r="H6" s="9">
        <v>0.124</v>
      </c>
      <c r="I6" s="8"/>
      <c r="J6" s="8"/>
      <c r="K6" s="8"/>
      <c r="L6" s="8"/>
      <c r="M6" s="8"/>
      <c r="N6" s="8"/>
    </row>
    <row r="7" spans="1:23" x14ac:dyDescent="0.3">
      <c r="A7" s="5">
        <v>6</v>
      </c>
      <c r="B7" s="7">
        <f>Poblacion!H17</f>
        <v>154154</v>
      </c>
      <c r="C7" s="9">
        <v>0.46100000000000002</v>
      </c>
      <c r="D7" s="9">
        <v>0.53900000000000003</v>
      </c>
      <c r="E7" s="9">
        <v>0.222</v>
      </c>
      <c r="F7" s="9">
        <v>0.19800000000000001</v>
      </c>
      <c r="G7" s="9">
        <v>0.48700000000000004</v>
      </c>
      <c r="H7" s="9">
        <v>9.1999999999999998E-2</v>
      </c>
      <c r="I7" s="8"/>
      <c r="J7" s="8"/>
      <c r="K7" s="8"/>
      <c r="L7" s="8"/>
      <c r="M7" s="8"/>
      <c r="N7" s="8"/>
    </row>
    <row r="8" spans="1:23" x14ac:dyDescent="0.3">
      <c r="A8" s="5">
        <v>7</v>
      </c>
      <c r="B8" s="7">
        <f>Poblacion!L17</f>
        <v>71049</v>
      </c>
      <c r="C8" s="9">
        <v>0.45899999999999996</v>
      </c>
      <c r="D8" s="9">
        <v>0.54100000000000004</v>
      </c>
      <c r="E8" s="9">
        <v>0.24</v>
      </c>
      <c r="F8" s="9">
        <v>0.19500000000000001</v>
      </c>
      <c r="G8" s="9">
        <v>0.46200000000000002</v>
      </c>
      <c r="H8" s="9">
        <v>0.10300000000000001</v>
      </c>
      <c r="I8" s="8"/>
      <c r="J8" s="8"/>
      <c r="K8" s="8"/>
      <c r="L8" s="8"/>
      <c r="M8" s="8"/>
      <c r="N8" s="8"/>
    </row>
    <row r="9" spans="1:23" x14ac:dyDescent="0.3">
      <c r="A9" s="5">
        <v>8</v>
      </c>
      <c r="B9" s="7">
        <f>Poblacion!P17</f>
        <v>100226</v>
      </c>
      <c r="C9" s="9">
        <v>0.45299999999999996</v>
      </c>
      <c r="D9" s="9">
        <v>0.54700000000000004</v>
      </c>
      <c r="E9" s="9">
        <v>0.19</v>
      </c>
      <c r="F9" s="9">
        <v>0.182</v>
      </c>
      <c r="G9" s="9">
        <v>0.49700000000000005</v>
      </c>
      <c r="H9" s="9">
        <v>0.13200000000000001</v>
      </c>
      <c r="I9" s="8"/>
      <c r="J9" s="8"/>
      <c r="K9" s="8"/>
      <c r="L9" s="8"/>
      <c r="M9" s="8"/>
      <c r="N9" s="8"/>
    </row>
    <row r="10" spans="1:23" x14ac:dyDescent="0.3">
      <c r="A10" s="5">
        <v>9</v>
      </c>
      <c r="B10" s="7">
        <f>Poblacion!D28</f>
        <v>37165</v>
      </c>
      <c r="C10" s="9">
        <v>0.47600000000000003</v>
      </c>
      <c r="D10" s="9">
        <v>0.52400000000000002</v>
      </c>
      <c r="E10" s="9">
        <v>0.21199999999999999</v>
      </c>
      <c r="F10" s="9">
        <v>0.17600000000000002</v>
      </c>
      <c r="G10" s="9">
        <v>0.46600000000000003</v>
      </c>
      <c r="H10" s="9">
        <v>0.14699999999999999</v>
      </c>
      <c r="I10" s="8"/>
      <c r="J10" s="8"/>
      <c r="K10" s="8"/>
      <c r="L10" s="8"/>
      <c r="M10" s="8"/>
      <c r="N10" s="8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5">
        <v>10</v>
      </c>
      <c r="B11" s="7">
        <f>Poblacion!H28</f>
        <v>104729</v>
      </c>
      <c r="C11" s="9">
        <v>0.44900000000000001</v>
      </c>
      <c r="D11" s="9">
        <v>0.55100000000000005</v>
      </c>
      <c r="E11" s="9">
        <v>0.20499999999999999</v>
      </c>
      <c r="F11" s="9">
        <v>0.192</v>
      </c>
      <c r="G11" s="9">
        <v>0.47499999999999998</v>
      </c>
      <c r="H11" s="9">
        <v>0.128</v>
      </c>
      <c r="I11" s="8"/>
      <c r="J11" s="8"/>
      <c r="K11" s="8"/>
      <c r="L11" s="8"/>
      <c r="M11" s="8"/>
      <c r="N11" s="8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5">
        <v>11</v>
      </c>
      <c r="B12" s="7">
        <f>Poblacion!L28</f>
        <v>111204</v>
      </c>
      <c r="C12" s="9">
        <v>0.45600000000000002</v>
      </c>
      <c r="D12" s="9">
        <v>0.54400000000000004</v>
      </c>
      <c r="E12" s="9">
        <v>0.20699999999999999</v>
      </c>
      <c r="F12" s="9">
        <v>0.187</v>
      </c>
      <c r="G12" s="9">
        <v>0.48700000000000004</v>
      </c>
      <c r="H12" s="9">
        <v>0.11900000000000001</v>
      </c>
      <c r="I12" s="8"/>
      <c r="J12" s="8"/>
      <c r="K12" s="8"/>
      <c r="L12" s="8"/>
      <c r="M12" s="8"/>
      <c r="N12" s="8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5">
        <v>12</v>
      </c>
      <c r="B13" s="7">
        <f>Poblacion!P28</f>
        <v>69956</v>
      </c>
      <c r="C13" s="9">
        <v>0.46</v>
      </c>
      <c r="D13" s="9">
        <v>0.54</v>
      </c>
      <c r="E13" s="9">
        <v>0.221</v>
      </c>
      <c r="F13" s="9">
        <v>0.193</v>
      </c>
      <c r="G13" s="9">
        <v>0.48100000000000004</v>
      </c>
      <c r="H13" s="9">
        <v>0.105</v>
      </c>
      <c r="I13" s="8"/>
      <c r="J13" s="8"/>
      <c r="K13" s="8"/>
      <c r="L13" s="8"/>
      <c r="M13" s="8"/>
      <c r="N13" s="8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5">
        <v>13</v>
      </c>
      <c r="B14" s="7">
        <f>Poblacion!D39</f>
        <v>145047</v>
      </c>
      <c r="C14" s="9">
        <v>0.46100000000000002</v>
      </c>
      <c r="D14" s="9">
        <v>0.53900000000000003</v>
      </c>
      <c r="E14" s="9">
        <v>0.27399999999999997</v>
      </c>
      <c r="F14" s="9">
        <v>0.20100000000000001</v>
      </c>
      <c r="G14" s="9">
        <v>0.442</v>
      </c>
      <c r="H14" s="9">
        <v>8.199999999999999E-2</v>
      </c>
      <c r="I14" s="8"/>
      <c r="J14" s="8"/>
      <c r="K14" s="8"/>
      <c r="L14" s="8"/>
      <c r="M14" s="8"/>
      <c r="N14" s="8"/>
    </row>
    <row r="15" spans="1:23" x14ac:dyDescent="0.3">
      <c r="A15" s="5">
        <v>14</v>
      </c>
      <c r="B15" s="7">
        <f>Poblacion!H39</f>
        <v>157639</v>
      </c>
      <c r="C15" s="9">
        <v>0.46</v>
      </c>
      <c r="D15" s="9">
        <v>0.54</v>
      </c>
      <c r="E15" s="9">
        <v>0.29199999999999998</v>
      </c>
      <c r="F15" s="9">
        <v>0.20699999999999999</v>
      </c>
      <c r="G15" s="9">
        <v>0.43099999999999999</v>
      </c>
      <c r="H15" s="9">
        <v>7.0999999999999994E-2</v>
      </c>
      <c r="I15" s="8"/>
      <c r="J15" s="8"/>
      <c r="K15" s="8"/>
      <c r="L15" s="8"/>
      <c r="M15" s="8"/>
      <c r="N15" s="8"/>
    </row>
    <row r="16" spans="1:23" x14ac:dyDescent="0.3">
      <c r="A16" s="5">
        <v>15</v>
      </c>
      <c r="B16" s="7">
        <f>Poblacion!L39</f>
        <v>126766</v>
      </c>
      <c r="C16" s="9">
        <v>0.45299999999999996</v>
      </c>
      <c r="D16" s="9">
        <v>0.54700000000000004</v>
      </c>
      <c r="E16" s="9">
        <v>0.30599999999999999</v>
      </c>
      <c r="F16" s="9">
        <v>0.20800000000000002</v>
      </c>
      <c r="G16" s="9">
        <v>0.42100000000000004</v>
      </c>
      <c r="H16" s="9">
        <v>6.6000000000000003E-2</v>
      </c>
      <c r="I16" s="8"/>
      <c r="J16" s="8"/>
      <c r="K16" s="8"/>
      <c r="L16" s="8"/>
      <c r="M16" s="8"/>
      <c r="N16" s="8"/>
    </row>
    <row r="17" spans="1:14" x14ac:dyDescent="0.3">
      <c r="A17" s="5">
        <v>16</v>
      </c>
      <c r="B17" s="7">
        <f>Poblacion!P39</f>
        <v>99041</v>
      </c>
      <c r="C17" s="9">
        <v>0.46</v>
      </c>
      <c r="D17" s="9">
        <v>0.54</v>
      </c>
      <c r="E17" s="9">
        <v>0.247</v>
      </c>
      <c r="F17" s="9">
        <v>0.2</v>
      </c>
      <c r="G17" s="9">
        <v>0.45799999999999996</v>
      </c>
      <c r="H17" s="9">
        <v>9.4E-2</v>
      </c>
      <c r="I17" s="8"/>
      <c r="J17" s="8"/>
      <c r="K17" s="8"/>
      <c r="L17" s="8"/>
      <c r="M17" s="8"/>
      <c r="N17" s="8"/>
    </row>
    <row r="18" spans="1:14" x14ac:dyDescent="0.3">
      <c r="A18" s="5">
        <v>17</v>
      </c>
      <c r="B18" s="7">
        <f>Poblacion!D50</f>
        <v>168998</v>
      </c>
      <c r="C18" s="9">
        <v>0.43099999999999999</v>
      </c>
      <c r="D18" s="9">
        <v>0.56899999999999995</v>
      </c>
      <c r="E18" s="9">
        <v>0.19800000000000001</v>
      </c>
      <c r="F18" s="9">
        <v>0.17699999999999999</v>
      </c>
      <c r="G18" s="9">
        <v>0.48299999999999998</v>
      </c>
      <c r="H18" s="9">
        <v>0.14199999999999999</v>
      </c>
      <c r="I18" s="8"/>
      <c r="J18" s="8"/>
      <c r="K18" s="8"/>
      <c r="L18" s="8"/>
      <c r="M18" s="8"/>
      <c r="N18" s="8"/>
    </row>
    <row r="19" spans="1:14" x14ac:dyDescent="0.3">
      <c r="A19" s="5">
        <v>18</v>
      </c>
      <c r="B19" s="7">
        <f>Poblacion!H50</f>
        <v>115529</v>
      </c>
      <c r="C19" s="9">
        <v>0.46500000000000002</v>
      </c>
      <c r="D19" s="9">
        <v>0.53500000000000003</v>
      </c>
      <c r="E19" s="9">
        <v>0.27100000000000002</v>
      </c>
      <c r="F19" s="9">
        <v>0.20499999999999999</v>
      </c>
      <c r="G19" s="9">
        <v>0.45100000000000001</v>
      </c>
      <c r="H19" s="9">
        <v>7.2999999999999995E-2</v>
      </c>
      <c r="I19" s="8"/>
      <c r="J19" s="8"/>
      <c r="K19" s="8"/>
      <c r="L19" s="8"/>
      <c r="M19" s="8"/>
      <c r="N19" s="8"/>
    </row>
    <row r="20" spans="1:14" x14ac:dyDescent="0.3">
      <c r="A20" s="5">
        <v>19</v>
      </c>
      <c r="B20" s="7">
        <f>Poblacion!L50</f>
        <v>111310</v>
      </c>
      <c r="C20" s="9">
        <v>0.46600000000000003</v>
      </c>
      <c r="D20" s="9">
        <v>0.53400000000000003</v>
      </c>
      <c r="E20" s="9">
        <v>0.218</v>
      </c>
      <c r="F20" s="9">
        <v>0.192</v>
      </c>
      <c r="G20" s="9">
        <v>0.47299999999999998</v>
      </c>
      <c r="H20" s="9">
        <v>0.11699999999999999</v>
      </c>
      <c r="I20" s="8"/>
      <c r="J20" s="8"/>
      <c r="K20" s="8"/>
      <c r="L20" s="8"/>
      <c r="M20" s="8"/>
      <c r="N20" s="8"/>
    </row>
    <row r="21" spans="1:14" x14ac:dyDescent="0.3">
      <c r="A21" s="5">
        <v>20</v>
      </c>
      <c r="B21" s="7">
        <f>Poblacion!P50</f>
        <v>58827</v>
      </c>
      <c r="C21" s="9">
        <v>0.47</v>
      </c>
      <c r="D21" s="9">
        <v>0.53</v>
      </c>
      <c r="E21" s="9">
        <v>0.27500000000000002</v>
      </c>
      <c r="F21" s="9">
        <v>0.20899999999999999</v>
      </c>
      <c r="G21" s="9">
        <v>0.43700000000000006</v>
      </c>
      <c r="H21" s="9">
        <v>7.9000000000000001E-2</v>
      </c>
      <c r="I21" s="8"/>
      <c r="J21" s="8"/>
      <c r="K21" s="8"/>
      <c r="L21" s="8"/>
      <c r="M21" s="8"/>
      <c r="N21" s="8"/>
    </row>
    <row r="22" spans="1:14" x14ac:dyDescent="0.3">
      <c r="A22" s="5">
        <v>21</v>
      </c>
      <c r="B22" s="7">
        <f>Poblacion!D61</f>
        <v>132544</v>
      </c>
      <c r="C22" s="9">
        <v>0.45799999999999996</v>
      </c>
      <c r="D22" s="9">
        <v>0.54200000000000004</v>
      </c>
      <c r="E22" s="9">
        <v>0.311</v>
      </c>
      <c r="F22" s="9">
        <v>0.21100000000000002</v>
      </c>
      <c r="G22" s="9">
        <v>0.43099999999999999</v>
      </c>
      <c r="H22" s="9">
        <v>4.5999999999999999E-2</v>
      </c>
      <c r="I22" s="8"/>
      <c r="J22" s="8"/>
      <c r="K22" s="8"/>
      <c r="L22" s="8"/>
      <c r="M22" s="8"/>
      <c r="N22" s="8"/>
    </row>
    <row r="23" spans="1:14" x14ac:dyDescent="0.3">
      <c r="A23" s="5">
        <v>22</v>
      </c>
      <c r="B23" s="7">
        <f>Poblacion!H61</f>
        <v>26104</v>
      </c>
      <c r="C23" s="9">
        <v>0.498</v>
      </c>
      <c r="D23" s="9">
        <v>0.502</v>
      </c>
      <c r="E23" s="9">
        <v>0.249</v>
      </c>
      <c r="F23" s="9">
        <v>0.20100000000000001</v>
      </c>
      <c r="G23" s="9">
        <v>0.48200000000000004</v>
      </c>
      <c r="H23" s="9">
        <v>6.9000000000000006E-2</v>
      </c>
      <c r="I23" s="8"/>
      <c r="J23" s="8"/>
      <c r="K23" s="8"/>
      <c r="L23" s="8"/>
      <c r="M23" s="8"/>
      <c r="N23" s="8"/>
    </row>
    <row r="24" spans="1:14" x14ac:dyDescent="0.3">
      <c r="E24" s="10"/>
      <c r="F24" s="10"/>
      <c r="G24" s="10"/>
      <c r="H24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E6B9B-CF91-CD40-8E7D-4013EA60EFBE}">
  <dimension ref="B1:P68"/>
  <sheetViews>
    <sheetView zoomScale="75" workbookViewId="0">
      <selection activeCell="E9" sqref="E9"/>
    </sheetView>
  </sheetViews>
  <sheetFormatPr baseColWidth="10" defaultRowHeight="15.6" x14ac:dyDescent="0.3"/>
  <cols>
    <col min="2" max="2" width="19.5" bestFit="1" customWidth="1"/>
    <col min="6" max="6" width="19.5" bestFit="1" customWidth="1"/>
    <col min="10" max="10" width="19.5" bestFit="1" customWidth="1"/>
    <col min="14" max="14" width="19.5" bestFit="1" customWidth="1"/>
  </cols>
  <sheetData>
    <row r="1" spans="2:16" x14ac:dyDescent="0.3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58.95" customHeight="1" x14ac:dyDescent="0.3">
      <c r="B2" s="12" t="s">
        <v>35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4" spans="2:16" x14ac:dyDescent="0.3">
      <c r="B4" s="11" t="s">
        <v>0</v>
      </c>
      <c r="C4" s="11"/>
      <c r="D4" s="11"/>
      <c r="F4" s="11" t="s">
        <v>13</v>
      </c>
      <c r="G4" s="11"/>
      <c r="H4" s="11"/>
      <c r="J4" s="11" t="s">
        <v>14</v>
      </c>
      <c r="K4" s="11"/>
      <c r="L4" s="11"/>
      <c r="N4" s="11" t="s">
        <v>15</v>
      </c>
      <c r="O4" s="11"/>
      <c r="P4" s="11"/>
    </row>
    <row r="5" spans="2:16" x14ac:dyDescent="0.3">
      <c r="B5" s="1" t="s">
        <v>1</v>
      </c>
      <c r="C5" s="1" t="s">
        <v>6</v>
      </c>
      <c r="D5" s="1" t="s">
        <v>7</v>
      </c>
      <c r="F5" s="1" t="s">
        <v>1</v>
      </c>
      <c r="G5" s="1" t="s">
        <v>6</v>
      </c>
      <c r="H5" s="1" t="s">
        <v>7</v>
      </c>
      <c r="J5" s="1" t="s">
        <v>1</v>
      </c>
      <c r="K5" s="1" t="s">
        <v>6</v>
      </c>
      <c r="L5" s="1" t="s">
        <v>7</v>
      </c>
      <c r="N5" s="1" t="s">
        <v>1</v>
      </c>
      <c r="O5" s="1" t="s">
        <v>6</v>
      </c>
      <c r="P5" s="1" t="s">
        <v>7</v>
      </c>
    </row>
    <row r="6" spans="2:16" x14ac:dyDescent="0.3">
      <c r="B6" s="3" t="s">
        <v>34</v>
      </c>
      <c r="C6" s="1" t="s">
        <v>4</v>
      </c>
      <c r="D6" s="1">
        <v>60799</v>
      </c>
      <c r="F6" s="3" t="s">
        <v>34</v>
      </c>
      <c r="G6" s="1" t="s">
        <v>4</v>
      </c>
      <c r="H6" s="1">
        <v>118956</v>
      </c>
      <c r="J6" s="3" t="s">
        <v>34</v>
      </c>
      <c r="K6" s="1" t="s">
        <v>4</v>
      </c>
      <c r="L6" s="1">
        <v>33652</v>
      </c>
      <c r="N6" s="3" t="s">
        <v>34</v>
      </c>
      <c r="O6" s="1" t="s">
        <v>4</v>
      </c>
      <c r="P6" s="1">
        <v>56189</v>
      </c>
    </row>
    <row r="7" spans="2:16" x14ac:dyDescent="0.3">
      <c r="B7" s="1" t="s">
        <v>2</v>
      </c>
      <c r="C7" s="1" t="s">
        <v>5</v>
      </c>
      <c r="D7" s="1">
        <v>46.8</v>
      </c>
      <c r="F7" s="1" t="s">
        <v>2</v>
      </c>
      <c r="G7" s="1" t="s">
        <v>5</v>
      </c>
      <c r="H7" s="1">
        <v>46.2</v>
      </c>
      <c r="J7" s="1" t="s">
        <v>2</v>
      </c>
      <c r="K7" s="1" t="s">
        <v>5</v>
      </c>
      <c r="L7" s="1">
        <v>48.8</v>
      </c>
      <c r="N7" s="1" t="s">
        <v>2</v>
      </c>
      <c r="O7" s="1" t="s">
        <v>5</v>
      </c>
      <c r="P7" s="1">
        <v>46.2</v>
      </c>
    </row>
    <row r="8" spans="2:16" x14ac:dyDescent="0.3">
      <c r="B8" s="1" t="s">
        <v>3</v>
      </c>
      <c r="C8" s="1" t="s">
        <v>5</v>
      </c>
      <c r="D8" s="1">
        <v>53.2</v>
      </c>
      <c r="F8" s="1" t="s">
        <v>3</v>
      </c>
      <c r="G8" s="1" t="s">
        <v>5</v>
      </c>
      <c r="H8" s="1">
        <v>53.8</v>
      </c>
      <c r="J8" s="1" t="s">
        <v>3</v>
      </c>
      <c r="K8" s="1" t="s">
        <v>5</v>
      </c>
      <c r="L8" s="1">
        <v>51.2</v>
      </c>
      <c r="N8" s="1" t="s">
        <v>3</v>
      </c>
      <c r="O8" s="1" t="s">
        <v>5</v>
      </c>
      <c r="P8" s="1">
        <v>53.8</v>
      </c>
    </row>
    <row r="9" spans="2:16" x14ac:dyDescent="0.3">
      <c r="B9" s="2" t="s">
        <v>8</v>
      </c>
      <c r="C9" s="1"/>
      <c r="D9" s="1"/>
      <c r="F9" s="2" t="s">
        <v>8</v>
      </c>
      <c r="G9" s="1"/>
      <c r="H9" s="1"/>
      <c r="J9" s="2" t="s">
        <v>8</v>
      </c>
      <c r="K9" s="1"/>
      <c r="L9" s="1"/>
      <c r="N9" s="2" t="s">
        <v>8</v>
      </c>
      <c r="O9" s="1"/>
      <c r="P9" s="1"/>
    </row>
    <row r="10" spans="2:16" x14ac:dyDescent="0.3">
      <c r="B10" s="1" t="s">
        <v>9</v>
      </c>
      <c r="C10" s="1" t="s">
        <v>5</v>
      </c>
      <c r="D10" s="1">
        <v>25.6</v>
      </c>
      <c r="F10" s="1" t="s">
        <v>9</v>
      </c>
      <c r="G10" s="1" t="s">
        <v>5</v>
      </c>
      <c r="H10" s="1">
        <v>26</v>
      </c>
      <c r="J10" s="1" t="s">
        <v>9</v>
      </c>
      <c r="K10" s="1" t="s">
        <v>5</v>
      </c>
      <c r="L10" s="1">
        <v>21.1</v>
      </c>
      <c r="N10" s="1" t="s">
        <v>9</v>
      </c>
      <c r="O10" s="1" t="s">
        <v>5</v>
      </c>
      <c r="P10" s="1">
        <v>20.8</v>
      </c>
    </row>
    <row r="11" spans="2:16" x14ac:dyDescent="0.3">
      <c r="B11" s="1" t="s">
        <v>10</v>
      </c>
      <c r="C11" s="1" t="s">
        <v>5</v>
      </c>
      <c r="D11" s="1">
        <v>19.899999999999999</v>
      </c>
      <c r="F11" s="1" t="s">
        <v>10</v>
      </c>
      <c r="G11" s="1" t="s">
        <v>5</v>
      </c>
      <c r="H11" s="1">
        <v>19.899999999999999</v>
      </c>
      <c r="J11" s="1" t="s">
        <v>10</v>
      </c>
      <c r="K11" s="1" t="s">
        <v>5</v>
      </c>
      <c r="L11" s="1">
        <v>17.100000000000001</v>
      </c>
      <c r="N11" s="1" t="s">
        <v>10</v>
      </c>
      <c r="O11" s="1" t="s">
        <v>5</v>
      </c>
      <c r="P11" s="1">
        <v>18.5</v>
      </c>
    </row>
    <row r="12" spans="2:16" x14ac:dyDescent="0.3">
      <c r="B12" s="1" t="s">
        <v>11</v>
      </c>
      <c r="C12" s="1" t="s">
        <v>5</v>
      </c>
      <c r="D12" s="1">
        <v>46</v>
      </c>
      <c r="F12" s="1" t="s">
        <v>11</v>
      </c>
      <c r="G12" s="1" t="s">
        <v>5</v>
      </c>
      <c r="H12" s="1">
        <v>44.8</v>
      </c>
      <c r="J12" s="1" t="s">
        <v>11</v>
      </c>
      <c r="K12" s="1" t="s">
        <v>5</v>
      </c>
      <c r="L12" s="1">
        <v>47.3</v>
      </c>
      <c r="N12" s="1" t="s">
        <v>11</v>
      </c>
      <c r="O12" s="1" t="s">
        <v>5</v>
      </c>
      <c r="P12" s="1">
        <v>48.1</v>
      </c>
    </row>
    <row r="13" spans="2:16" x14ac:dyDescent="0.3">
      <c r="B13" s="1" t="s">
        <v>12</v>
      </c>
      <c r="C13" s="1" t="s">
        <v>5</v>
      </c>
      <c r="D13" s="1">
        <v>8.4</v>
      </c>
      <c r="F13" s="1" t="s">
        <v>12</v>
      </c>
      <c r="G13" s="1" t="s">
        <v>5</v>
      </c>
      <c r="H13" s="1">
        <v>9.3000000000000007</v>
      </c>
      <c r="J13" s="1" t="s">
        <v>12</v>
      </c>
      <c r="K13" s="1" t="s">
        <v>5</v>
      </c>
      <c r="L13" s="1">
        <v>14.4</v>
      </c>
      <c r="N13" s="1" t="s">
        <v>12</v>
      </c>
      <c r="O13" s="1" t="s">
        <v>5</v>
      </c>
      <c r="P13" s="1">
        <v>12.5</v>
      </c>
    </row>
    <row r="15" spans="2:16" x14ac:dyDescent="0.3">
      <c r="B15" s="11" t="s">
        <v>16</v>
      </c>
      <c r="C15" s="11"/>
      <c r="D15" s="11"/>
      <c r="F15" s="11" t="s">
        <v>17</v>
      </c>
      <c r="G15" s="11"/>
      <c r="H15" s="11"/>
      <c r="J15" s="11" t="s">
        <v>19</v>
      </c>
      <c r="K15" s="11"/>
      <c r="L15" s="11"/>
      <c r="N15" s="11" t="s">
        <v>18</v>
      </c>
      <c r="O15" s="11"/>
      <c r="P15" s="11"/>
    </row>
    <row r="16" spans="2:16" x14ac:dyDescent="0.3">
      <c r="B16" s="1" t="s">
        <v>1</v>
      </c>
      <c r="C16" s="1" t="s">
        <v>6</v>
      </c>
      <c r="D16" s="1" t="s">
        <v>7</v>
      </c>
      <c r="F16" s="1" t="s">
        <v>1</v>
      </c>
      <c r="G16" s="1" t="s">
        <v>6</v>
      </c>
      <c r="H16" s="1" t="s">
        <v>7</v>
      </c>
      <c r="J16" s="1" t="s">
        <v>1</v>
      </c>
      <c r="K16" s="1" t="s">
        <v>6</v>
      </c>
      <c r="L16" s="1" t="s">
        <v>7</v>
      </c>
      <c r="N16" s="1" t="s">
        <v>1</v>
      </c>
      <c r="O16" s="1" t="s">
        <v>6</v>
      </c>
      <c r="P16" s="1" t="s">
        <v>7</v>
      </c>
    </row>
    <row r="17" spans="2:16" x14ac:dyDescent="0.3">
      <c r="B17" s="3" t="s">
        <v>34</v>
      </c>
      <c r="C17" s="1" t="s">
        <v>4</v>
      </c>
      <c r="D17" s="1">
        <v>114776</v>
      </c>
      <c r="F17" s="3" t="s">
        <v>34</v>
      </c>
      <c r="G17" s="1" t="s">
        <v>4</v>
      </c>
      <c r="H17" s="1">
        <v>154154</v>
      </c>
      <c r="J17" s="3" t="s">
        <v>34</v>
      </c>
      <c r="K17" s="1" t="s">
        <v>4</v>
      </c>
      <c r="L17" s="1">
        <v>71049</v>
      </c>
      <c r="N17" s="3" t="s">
        <v>34</v>
      </c>
      <c r="O17" s="1" t="s">
        <v>4</v>
      </c>
      <c r="P17" s="1">
        <v>100226</v>
      </c>
    </row>
    <row r="18" spans="2:16" x14ac:dyDescent="0.3">
      <c r="B18" s="1" t="s">
        <v>2</v>
      </c>
      <c r="C18" s="1" t="s">
        <v>5</v>
      </c>
      <c r="D18" s="1">
        <v>44.3</v>
      </c>
      <c r="F18" s="1" t="s">
        <v>2</v>
      </c>
      <c r="G18" s="1" t="s">
        <v>5</v>
      </c>
      <c r="H18" s="1">
        <v>46.1</v>
      </c>
      <c r="J18" s="1" t="s">
        <v>2</v>
      </c>
      <c r="K18" s="1" t="s">
        <v>5</v>
      </c>
      <c r="L18" s="1">
        <v>45.9</v>
      </c>
      <c r="N18" s="1" t="s">
        <v>2</v>
      </c>
      <c r="O18" s="1" t="s">
        <v>5</v>
      </c>
      <c r="P18" s="1">
        <v>45.3</v>
      </c>
    </row>
    <row r="19" spans="2:16" x14ac:dyDescent="0.3">
      <c r="B19" s="1" t="s">
        <v>3</v>
      </c>
      <c r="C19" s="1" t="s">
        <v>5</v>
      </c>
      <c r="D19" s="1">
        <v>55.7</v>
      </c>
      <c r="F19" s="1" t="s">
        <v>3</v>
      </c>
      <c r="G19" s="1" t="s">
        <v>5</v>
      </c>
      <c r="H19" s="1">
        <v>53.9</v>
      </c>
      <c r="J19" s="1" t="s">
        <v>3</v>
      </c>
      <c r="K19" s="1" t="s">
        <v>5</v>
      </c>
      <c r="L19" s="1">
        <v>54.1</v>
      </c>
      <c r="N19" s="1" t="s">
        <v>3</v>
      </c>
      <c r="O19" s="1" t="s">
        <v>5</v>
      </c>
      <c r="P19" s="1">
        <v>54.7</v>
      </c>
    </row>
    <row r="20" spans="2:16" x14ac:dyDescent="0.3">
      <c r="B20" s="2" t="s">
        <v>8</v>
      </c>
      <c r="C20" s="1"/>
      <c r="D20" s="1"/>
      <c r="F20" s="2" t="s">
        <v>8</v>
      </c>
      <c r="G20" s="1"/>
      <c r="H20" s="1"/>
      <c r="J20" s="2" t="s">
        <v>8</v>
      </c>
      <c r="K20" s="1"/>
      <c r="L20" s="1"/>
      <c r="N20" s="2" t="s">
        <v>8</v>
      </c>
      <c r="O20" s="1"/>
      <c r="P20" s="1"/>
    </row>
    <row r="21" spans="2:16" x14ac:dyDescent="0.3">
      <c r="B21" s="1" t="s">
        <v>9</v>
      </c>
      <c r="C21" s="1" t="s">
        <v>5</v>
      </c>
      <c r="D21" s="1">
        <v>16.899999999999999</v>
      </c>
      <c r="F21" s="1" t="s">
        <v>9</v>
      </c>
      <c r="G21" s="1" t="s">
        <v>5</v>
      </c>
      <c r="H21" s="1">
        <v>22.2</v>
      </c>
      <c r="J21" s="1" t="s">
        <v>9</v>
      </c>
      <c r="K21" s="1" t="s">
        <v>5</v>
      </c>
      <c r="L21" s="1">
        <v>24</v>
      </c>
      <c r="N21" s="1" t="s">
        <v>9</v>
      </c>
      <c r="O21" s="1" t="s">
        <v>5</v>
      </c>
      <c r="P21" s="1">
        <v>19</v>
      </c>
    </row>
    <row r="22" spans="2:16" x14ac:dyDescent="0.3">
      <c r="B22" s="1" t="s">
        <v>10</v>
      </c>
      <c r="C22" s="1" t="s">
        <v>5</v>
      </c>
      <c r="D22" s="1">
        <v>17.3</v>
      </c>
      <c r="F22" s="1" t="s">
        <v>10</v>
      </c>
      <c r="G22" s="1" t="s">
        <v>5</v>
      </c>
      <c r="H22" s="1">
        <v>19.8</v>
      </c>
      <c r="J22" s="1" t="s">
        <v>10</v>
      </c>
      <c r="K22" s="1" t="s">
        <v>5</v>
      </c>
      <c r="L22" s="1">
        <v>19.5</v>
      </c>
      <c r="N22" s="1" t="s">
        <v>10</v>
      </c>
      <c r="O22" s="1" t="s">
        <v>5</v>
      </c>
      <c r="P22" s="1">
        <v>18.2</v>
      </c>
    </row>
    <row r="23" spans="2:16" x14ac:dyDescent="0.3">
      <c r="B23" s="1" t="s">
        <v>11</v>
      </c>
      <c r="C23" s="1" t="s">
        <v>5</v>
      </c>
      <c r="D23" s="1">
        <v>53.5</v>
      </c>
      <c r="F23" s="1" t="s">
        <v>11</v>
      </c>
      <c r="G23" s="1" t="s">
        <v>5</v>
      </c>
      <c r="H23" s="1">
        <v>48.7</v>
      </c>
      <c r="J23" s="1" t="s">
        <v>11</v>
      </c>
      <c r="K23" s="1" t="s">
        <v>5</v>
      </c>
      <c r="L23" s="1">
        <v>46.2</v>
      </c>
      <c r="N23" s="1" t="s">
        <v>11</v>
      </c>
      <c r="O23" s="1" t="s">
        <v>5</v>
      </c>
      <c r="P23" s="1">
        <v>49.7</v>
      </c>
    </row>
    <row r="24" spans="2:16" x14ac:dyDescent="0.3">
      <c r="B24" s="1" t="s">
        <v>12</v>
      </c>
      <c r="C24" s="1" t="s">
        <v>5</v>
      </c>
      <c r="D24" s="1">
        <v>12.4</v>
      </c>
      <c r="F24" s="1" t="s">
        <v>12</v>
      </c>
      <c r="G24" s="1" t="s">
        <v>5</v>
      </c>
      <c r="H24" s="1">
        <v>9.1999999999999993</v>
      </c>
      <c r="J24" s="1" t="s">
        <v>12</v>
      </c>
      <c r="K24" s="1" t="s">
        <v>5</v>
      </c>
      <c r="L24" s="1">
        <v>10.3</v>
      </c>
      <c r="N24" s="1" t="s">
        <v>12</v>
      </c>
      <c r="O24" s="1" t="s">
        <v>5</v>
      </c>
      <c r="P24" s="1">
        <v>13.2</v>
      </c>
    </row>
    <row r="26" spans="2:16" x14ac:dyDescent="0.3">
      <c r="B26" s="11" t="s">
        <v>20</v>
      </c>
      <c r="C26" s="11"/>
      <c r="D26" s="11"/>
      <c r="F26" s="11" t="s">
        <v>21</v>
      </c>
      <c r="G26" s="11"/>
      <c r="H26" s="11"/>
      <c r="J26" s="11" t="s">
        <v>22</v>
      </c>
      <c r="K26" s="11"/>
      <c r="L26" s="11"/>
      <c r="N26" s="11" t="s">
        <v>23</v>
      </c>
      <c r="O26" s="11"/>
      <c r="P26" s="11"/>
    </row>
    <row r="27" spans="2:16" x14ac:dyDescent="0.3">
      <c r="B27" s="1" t="s">
        <v>1</v>
      </c>
      <c r="C27" s="1" t="s">
        <v>6</v>
      </c>
      <c r="D27" s="1" t="s">
        <v>7</v>
      </c>
      <c r="F27" s="1" t="s">
        <v>1</v>
      </c>
      <c r="G27" s="1" t="s">
        <v>6</v>
      </c>
      <c r="H27" s="1" t="s">
        <v>7</v>
      </c>
      <c r="J27" s="1" t="s">
        <v>1</v>
      </c>
      <c r="K27" s="1" t="s">
        <v>6</v>
      </c>
      <c r="L27" s="1" t="s">
        <v>7</v>
      </c>
      <c r="N27" s="1" t="s">
        <v>1</v>
      </c>
      <c r="O27" s="1" t="s">
        <v>6</v>
      </c>
      <c r="P27" s="1" t="s">
        <v>7</v>
      </c>
    </row>
    <row r="28" spans="2:16" x14ac:dyDescent="0.3">
      <c r="B28" s="3" t="s">
        <v>34</v>
      </c>
      <c r="C28" s="1" t="s">
        <v>4</v>
      </c>
      <c r="D28" s="1">
        <v>37165</v>
      </c>
      <c r="F28" s="3" t="s">
        <v>34</v>
      </c>
      <c r="G28" s="1" t="s">
        <v>4</v>
      </c>
      <c r="H28" s="1">
        <v>104729</v>
      </c>
      <c r="J28" s="3" t="s">
        <v>34</v>
      </c>
      <c r="K28" s="1" t="s">
        <v>4</v>
      </c>
      <c r="L28" s="1">
        <v>111204</v>
      </c>
      <c r="N28" s="3" t="s">
        <v>34</v>
      </c>
      <c r="O28" s="1" t="s">
        <v>4</v>
      </c>
      <c r="P28" s="1">
        <v>69956</v>
      </c>
    </row>
    <row r="29" spans="2:16" x14ac:dyDescent="0.3">
      <c r="B29" s="1" t="s">
        <v>2</v>
      </c>
      <c r="C29" s="1" t="s">
        <v>5</v>
      </c>
      <c r="D29" s="1">
        <v>47.6</v>
      </c>
      <c r="F29" s="1" t="s">
        <v>2</v>
      </c>
      <c r="G29" s="1" t="s">
        <v>5</v>
      </c>
      <c r="H29" s="1">
        <v>44.9</v>
      </c>
      <c r="J29" s="1" t="s">
        <v>2</v>
      </c>
      <c r="K29" s="1" t="s">
        <v>5</v>
      </c>
      <c r="L29" s="1">
        <v>45.6</v>
      </c>
      <c r="N29" s="1" t="s">
        <v>2</v>
      </c>
      <c r="O29" s="1" t="s">
        <v>5</v>
      </c>
      <c r="P29" s="1">
        <v>46</v>
      </c>
    </row>
    <row r="30" spans="2:16" x14ac:dyDescent="0.3">
      <c r="B30" s="1" t="s">
        <v>3</v>
      </c>
      <c r="C30" s="1" t="s">
        <v>5</v>
      </c>
      <c r="D30" s="1">
        <v>52.4</v>
      </c>
      <c r="F30" s="1" t="s">
        <v>3</v>
      </c>
      <c r="G30" s="1" t="s">
        <v>5</v>
      </c>
      <c r="H30" s="1">
        <v>55.1</v>
      </c>
      <c r="J30" s="1" t="s">
        <v>3</v>
      </c>
      <c r="K30" s="1" t="s">
        <v>5</v>
      </c>
      <c r="L30" s="1">
        <v>54.4</v>
      </c>
      <c r="N30" s="1" t="s">
        <v>3</v>
      </c>
      <c r="O30" s="1" t="s">
        <v>5</v>
      </c>
      <c r="P30" s="1">
        <v>54</v>
      </c>
    </row>
    <row r="31" spans="2:16" x14ac:dyDescent="0.3">
      <c r="B31" s="2" t="s">
        <v>8</v>
      </c>
      <c r="C31" s="1"/>
      <c r="D31" s="1"/>
      <c r="F31" s="2" t="s">
        <v>8</v>
      </c>
      <c r="G31" s="1"/>
      <c r="H31" s="1"/>
      <c r="J31" s="2" t="s">
        <v>8</v>
      </c>
      <c r="K31" s="1"/>
      <c r="L31" s="1"/>
      <c r="N31" s="2" t="s">
        <v>8</v>
      </c>
      <c r="O31" s="1"/>
      <c r="P31" s="1"/>
    </row>
    <row r="32" spans="2:16" x14ac:dyDescent="0.3">
      <c r="B32" s="1" t="s">
        <v>9</v>
      </c>
      <c r="C32" s="1" t="s">
        <v>5</v>
      </c>
      <c r="D32" s="1">
        <v>21.2</v>
      </c>
      <c r="F32" s="1" t="s">
        <v>9</v>
      </c>
      <c r="G32" s="1" t="s">
        <v>5</v>
      </c>
      <c r="H32" s="1">
        <v>20.5</v>
      </c>
      <c r="J32" s="1" t="s">
        <v>9</v>
      </c>
      <c r="K32" s="1" t="s">
        <v>5</v>
      </c>
      <c r="L32" s="1">
        <v>20.7</v>
      </c>
      <c r="N32" s="1" t="s">
        <v>9</v>
      </c>
      <c r="O32" s="1" t="s">
        <v>5</v>
      </c>
      <c r="P32" s="1">
        <v>22.1</v>
      </c>
    </row>
    <row r="33" spans="2:16" x14ac:dyDescent="0.3">
      <c r="B33" s="1" t="s">
        <v>10</v>
      </c>
      <c r="C33" s="1" t="s">
        <v>5</v>
      </c>
      <c r="D33" s="1">
        <v>17.600000000000001</v>
      </c>
      <c r="F33" s="1" t="s">
        <v>10</v>
      </c>
      <c r="G33" s="1" t="s">
        <v>5</v>
      </c>
      <c r="H33" s="1">
        <v>19.2</v>
      </c>
      <c r="J33" s="1" t="s">
        <v>10</v>
      </c>
      <c r="K33" s="1" t="s">
        <v>5</v>
      </c>
      <c r="L33" s="1">
        <v>18.7</v>
      </c>
      <c r="N33" s="1" t="s">
        <v>10</v>
      </c>
      <c r="O33" s="1" t="s">
        <v>5</v>
      </c>
      <c r="P33" s="1">
        <v>19.3</v>
      </c>
    </row>
    <row r="34" spans="2:16" x14ac:dyDescent="0.3">
      <c r="B34" s="1" t="s">
        <v>11</v>
      </c>
      <c r="C34" s="1" t="s">
        <v>5</v>
      </c>
      <c r="D34" s="1">
        <v>46.6</v>
      </c>
      <c r="F34" s="1" t="s">
        <v>11</v>
      </c>
      <c r="G34" s="1" t="s">
        <v>5</v>
      </c>
      <c r="H34" s="1">
        <v>47.5</v>
      </c>
      <c r="J34" s="1" t="s">
        <v>11</v>
      </c>
      <c r="K34" s="1" t="s">
        <v>5</v>
      </c>
      <c r="L34" s="1">
        <v>48.7</v>
      </c>
      <c r="N34" s="1" t="s">
        <v>11</v>
      </c>
      <c r="O34" s="1" t="s">
        <v>5</v>
      </c>
      <c r="P34" s="1">
        <v>48.1</v>
      </c>
    </row>
    <row r="35" spans="2:16" x14ac:dyDescent="0.3">
      <c r="B35" s="1" t="s">
        <v>12</v>
      </c>
      <c r="C35" s="1" t="s">
        <v>5</v>
      </c>
      <c r="D35" s="1">
        <v>14.7</v>
      </c>
      <c r="F35" s="1" t="s">
        <v>12</v>
      </c>
      <c r="G35" s="1" t="s">
        <v>5</v>
      </c>
      <c r="H35" s="1">
        <v>12.8</v>
      </c>
      <c r="J35" s="1" t="s">
        <v>12</v>
      </c>
      <c r="K35" s="1" t="s">
        <v>5</v>
      </c>
      <c r="L35" s="1">
        <v>11.9</v>
      </c>
      <c r="N35" s="1" t="s">
        <v>12</v>
      </c>
      <c r="O35" s="1" t="s">
        <v>5</v>
      </c>
      <c r="P35" s="1">
        <v>10.5</v>
      </c>
    </row>
    <row r="37" spans="2:16" x14ac:dyDescent="0.3">
      <c r="B37" s="11" t="s">
        <v>24</v>
      </c>
      <c r="C37" s="11"/>
      <c r="D37" s="11"/>
      <c r="F37" s="11" t="s">
        <v>25</v>
      </c>
      <c r="G37" s="11"/>
      <c r="H37" s="11"/>
      <c r="J37" s="11" t="s">
        <v>26</v>
      </c>
      <c r="K37" s="11"/>
      <c r="L37" s="11"/>
      <c r="N37" s="11" t="s">
        <v>27</v>
      </c>
      <c r="O37" s="11"/>
      <c r="P37" s="11"/>
    </row>
    <row r="38" spans="2:16" x14ac:dyDescent="0.3">
      <c r="B38" s="1" t="s">
        <v>1</v>
      </c>
      <c r="C38" s="1" t="s">
        <v>6</v>
      </c>
      <c r="D38" s="1" t="s">
        <v>7</v>
      </c>
      <c r="F38" s="1" t="s">
        <v>1</v>
      </c>
      <c r="G38" s="1" t="s">
        <v>6</v>
      </c>
      <c r="H38" s="1" t="s">
        <v>7</v>
      </c>
      <c r="J38" s="1" t="s">
        <v>1</v>
      </c>
      <c r="K38" s="1" t="s">
        <v>6</v>
      </c>
      <c r="L38" s="1" t="s">
        <v>7</v>
      </c>
      <c r="N38" s="1" t="s">
        <v>1</v>
      </c>
      <c r="O38" s="1" t="s">
        <v>6</v>
      </c>
      <c r="P38" s="1" t="s">
        <v>7</v>
      </c>
    </row>
    <row r="39" spans="2:16" x14ac:dyDescent="0.3">
      <c r="B39" s="3" t="s">
        <v>34</v>
      </c>
      <c r="C39" s="1" t="s">
        <v>4</v>
      </c>
      <c r="D39" s="1">
        <v>145047</v>
      </c>
      <c r="F39" s="3" t="s">
        <v>34</v>
      </c>
      <c r="G39" s="1" t="s">
        <v>4</v>
      </c>
      <c r="H39" s="1">
        <v>157639</v>
      </c>
      <c r="J39" s="3" t="s">
        <v>34</v>
      </c>
      <c r="K39" s="1" t="s">
        <v>4</v>
      </c>
      <c r="L39" s="1">
        <v>126766</v>
      </c>
      <c r="N39" s="3" t="s">
        <v>34</v>
      </c>
      <c r="O39" s="1" t="s">
        <v>4</v>
      </c>
      <c r="P39" s="1">
        <v>99041</v>
      </c>
    </row>
    <row r="40" spans="2:16" x14ac:dyDescent="0.3">
      <c r="B40" s="1" t="s">
        <v>2</v>
      </c>
      <c r="C40" s="1" t="s">
        <v>5</v>
      </c>
      <c r="D40" s="1">
        <v>46.1</v>
      </c>
      <c r="F40" s="1" t="s">
        <v>2</v>
      </c>
      <c r="G40" s="1" t="s">
        <v>5</v>
      </c>
      <c r="H40" s="1">
        <v>46</v>
      </c>
      <c r="J40" s="1" t="s">
        <v>2</v>
      </c>
      <c r="K40" s="1" t="s">
        <v>5</v>
      </c>
      <c r="L40" s="1">
        <v>45.3</v>
      </c>
      <c r="N40" s="1" t="s">
        <v>2</v>
      </c>
      <c r="O40" s="1" t="s">
        <v>5</v>
      </c>
      <c r="P40" s="1">
        <v>46</v>
      </c>
    </row>
    <row r="41" spans="2:16" x14ac:dyDescent="0.3">
      <c r="B41" s="1" t="s">
        <v>3</v>
      </c>
      <c r="C41" s="1" t="s">
        <v>5</v>
      </c>
      <c r="D41" s="1">
        <v>53.9</v>
      </c>
      <c r="F41" s="1" t="s">
        <v>3</v>
      </c>
      <c r="G41" s="1" t="s">
        <v>5</v>
      </c>
      <c r="H41" s="1">
        <v>54</v>
      </c>
      <c r="J41" s="1" t="s">
        <v>3</v>
      </c>
      <c r="K41" s="1" t="s">
        <v>5</v>
      </c>
      <c r="L41" s="1">
        <v>54.7</v>
      </c>
      <c r="N41" s="1" t="s">
        <v>3</v>
      </c>
      <c r="O41" s="1" t="s">
        <v>5</v>
      </c>
      <c r="P41" s="1">
        <v>54</v>
      </c>
    </row>
    <row r="42" spans="2:16" x14ac:dyDescent="0.3">
      <c r="B42" s="2" t="s">
        <v>8</v>
      </c>
      <c r="C42" s="1"/>
      <c r="D42" s="1"/>
      <c r="F42" s="2" t="s">
        <v>8</v>
      </c>
      <c r="G42" s="1"/>
      <c r="H42" s="1"/>
      <c r="J42" s="2" t="s">
        <v>8</v>
      </c>
      <c r="K42" s="1"/>
      <c r="L42" s="1"/>
      <c r="N42" s="2" t="s">
        <v>8</v>
      </c>
      <c r="O42" s="1"/>
      <c r="P42" s="1"/>
    </row>
    <row r="43" spans="2:16" x14ac:dyDescent="0.3">
      <c r="B43" s="1" t="s">
        <v>9</v>
      </c>
      <c r="C43" s="1" t="s">
        <v>5</v>
      </c>
      <c r="D43" s="1">
        <v>27.4</v>
      </c>
      <c r="F43" s="1" t="s">
        <v>9</v>
      </c>
      <c r="G43" s="1" t="s">
        <v>5</v>
      </c>
      <c r="H43" s="1">
        <v>29.2</v>
      </c>
      <c r="J43" s="1" t="s">
        <v>9</v>
      </c>
      <c r="K43" s="1" t="s">
        <v>5</v>
      </c>
      <c r="L43" s="1">
        <v>30.6</v>
      </c>
      <c r="N43" s="1" t="s">
        <v>9</v>
      </c>
      <c r="O43" s="1" t="s">
        <v>5</v>
      </c>
      <c r="P43" s="1">
        <v>24.7</v>
      </c>
    </row>
    <row r="44" spans="2:16" x14ac:dyDescent="0.3">
      <c r="B44" s="1" t="s">
        <v>10</v>
      </c>
      <c r="C44" s="1" t="s">
        <v>5</v>
      </c>
      <c r="D44" s="1">
        <v>20.100000000000001</v>
      </c>
      <c r="F44" s="1" t="s">
        <v>10</v>
      </c>
      <c r="G44" s="1" t="s">
        <v>5</v>
      </c>
      <c r="H44" s="1">
        <v>20.7</v>
      </c>
      <c r="J44" s="1" t="s">
        <v>10</v>
      </c>
      <c r="K44" s="1" t="s">
        <v>5</v>
      </c>
      <c r="L44" s="1">
        <v>20.8</v>
      </c>
      <c r="N44" s="1" t="s">
        <v>10</v>
      </c>
      <c r="O44" s="1" t="s">
        <v>5</v>
      </c>
      <c r="P44" s="1">
        <v>20</v>
      </c>
    </row>
    <row r="45" spans="2:16" x14ac:dyDescent="0.3">
      <c r="B45" s="1" t="s">
        <v>11</v>
      </c>
      <c r="C45" s="1" t="s">
        <v>5</v>
      </c>
      <c r="D45" s="1">
        <v>44.2</v>
      </c>
      <c r="F45" s="1" t="s">
        <v>11</v>
      </c>
      <c r="G45" s="1" t="s">
        <v>5</v>
      </c>
      <c r="H45" s="1">
        <v>43.1</v>
      </c>
      <c r="J45" s="1" t="s">
        <v>11</v>
      </c>
      <c r="K45" s="1" t="s">
        <v>5</v>
      </c>
      <c r="L45" s="1">
        <v>42.1</v>
      </c>
      <c r="N45" s="1" t="s">
        <v>11</v>
      </c>
      <c r="O45" s="1" t="s">
        <v>5</v>
      </c>
      <c r="P45" s="1">
        <v>45.8</v>
      </c>
    </row>
    <row r="46" spans="2:16" x14ac:dyDescent="0.3">
      <c r="B46" s="1" t="s">
        <v>12</v>
      </c>
      <c r="C46" s="1" t="s">
        <v>5</v>
      </c>
      <c r="D46" s="1">
        <v>8.1999999999999993</v>
      </c>
      <c r="F46" s="1" t="s">
        <v>12</v>
      </c>
      <c r="G46" s="1" t="s">
        <v>5</v>
      </c>
      <c r="H46" s="1">
        <v>7.1</v>
      </c>
      <c r="J46" s="1" t="s">
        <v>12</v>
      </c>
      <c r="K46" s="1" t="s">
        <v>5</v>
      </c>
      <c r="L46" s="1">
        <v>6.6</v>
      </c>
      <c r="N46" s="1" t="s">
        <v>12</v>
      </c>
      <c r="O46" s="1" t="s">
        <v>5</v>
      </c>
      <c r="P46" s="1">
        <v>9.4</v>
      </c>
    </row>
    <row r="48" spans="2:16" x14ac:dyDescent="0.3">
      <c r="B48" s="11" t="s">
        <v>28</v>
      </c>
      <c r="C48" s="11"/>
      <c r="D48" s="11"/>
      <c r="F48" s="11" t="s">
        <v>29</v>
      </c>
      <c r="G48" s="11"/>
      <c r="H48" s="11"/>
      <c r="J48" s="11" t="s">
        <v>30</v>
      </c>
      <c r="K48" s="11"/>
      <c r="L48" s="11"/>
      <c r="N48" s="11" t="s">
        <v>31</v>
      </c>
      <c r="O48" s="11"/>
      <c r="P48" s="11"/>
    </row>
    <row r="49" spans="2:16" x14ac:dyDescent="0.3">
      <c r="B49" s="1" t="s">
        <v>1</v>
      </c>
      <c r="C49" s="1" t="s">
        <v>6</v>
      </c>
      <c r="D49" s="1" t="s">
        <v>7</v>
      </c>
      <c r="F49" s="1" t="s">
        <v>1</v>
      </c>
      <c r="G49" s="1" t="s">
        <v>6</v>
      </c>
      <c r="H49" s="1" t="s">
        <v>7</v>
      </c>
      <c r="J49" s="1" t="s">
        <v>1</v>
      </c>
      <c r="K49" s="1" t="s">
        <v>6</v>
      </c>
      <c r="L49" s="1" t="s">
        <v>7</v>
      </c>
      <c r="N49" s="1" t="s">
        <v>1</v>
      </c>
      <c r="O49" s="1" t="s">
        <v>6</v>
      </c>
      <c r="P49" s="1" t="s">
        <v>7</v>
      </c>
    </row>
    <row r="50" spans="2:16" x14ac:dyDescent="0.3">
      <c r="B50" s="3" t="s">
        <v>34</v>
      </c>
      <c r="C50" s="1" t="s">
        <v>4</v>
      </c>
      <c r="D50" s="1">
        <v>168998</v>
      </c>
      <c r="F50" s="3" t="s">
        <v>34</v>
      </c>
      <c r="G50" s="1" t="s">
        <v>4</v>
      </c>
      <c r="H50" s="1">
        <v>115529</v>
      </c>
      <c r="J50" s="3" t="s">
        <v>34</v>
      </c>
      <c r="K50" s="1" t="s">
        <v>4</v>
      </c>
      <c r="L50" s="1">
        <v>111310</v>
      </c>
      <c r="N50" s="2" t="s">
        <v>34</v>
      </c>
      <c r="O50" s="1" t="s">
        <v>4</v>
      </c>
      <c r="P50" s="1">
        <v>58827</v>
      </c>
    </row>
    <row r="51" spans="2:16" x14ac:dyDescent="0.3">
      <c r="B51" s="1" t="s">
        <v>2</v>
      </c>
      <c r="C51" s="1" t="s">
        <v>5</v>
      </c>
      <c r="D51" s="1">
        <v>43.1</v>
      </c>
      <c r="F51" s="1" t="s">
        <v>2</v>
      </c>
      <c r="G51" s="1" t="s">
        <v>5</v>
      </c>
      <c r="H51" s="1">
        <v>46.5</v>
      </c>
      <c r="J51" s="1" t="s">
        <v>2</v>
      </c>
      <c r="K51" s="1" t="s">
        <v>5</v>
      </c>
      <c r="L51" s="1">
        <v>46.6</v>
      </c>
      <c r="N51" s="1" t="s">
        <v>2</v>
      </c>
      <c r="O51" s="1" t="s">
        <v>5</v>
      </c>
      <c r="P51" s="1">
        <v>47</v>
      </c>
    </row>
    <row r="52" spans="2:16" x14ac:dyDescent="0.3">
      <c r="B52" s="1" t="s">
        <v>3</v>
      </c>
      <c r="C52" s="1" t="s">
        <v>5</v>
      </c>
      <c r="D52" s="1">
        <v>56.9</v>
      </c>
      <c r="F52" s="1" t="s">
        <v>3</v>
      </c>
      <c r="G52" s="1" t="s">
        <v>5</v>
      </c>
      <c r="H52" s="1">
        <v>53.5</v>
      </c>
      <c r="J52" s="1" t="s">
        <v>3</v>
      </c>
      <c r="K52" s="1" t="s">
        <v>5</v>
      </c>
      <c r="L52" s="1">
        <v>53.4</v>
      </c>
      <c r="N52" s="1" t="s">
        <v>3</v>
      </c>
      <c r="O52" s="1" t="s">
        <v>5</v>
      </c>
      <c r="P52" s="1">
        <v>53</v>
      </c>
    </row>
    <row r="53" spans="2:16" x14ac:dyDescent="0.3">
      <c r="B53" s="2" t="s">
        <v>8</v>
      </c>
      <c r="C53" s="1"/>
      <c r="D53" s="1"/>
      <c r="F53" s="2" t="s">
        <v>8</v>
      </c>
      <c r="G53" s="1"/>
      <c r="H53" s="1"/>
      <c r="J53" s="2" t="s">
        <v>8</v>
      </c>
      <c r="K53" s="1"/>
      <c r="L53" s="1"/>
      <c r="N53" s="2" t="s">
        <v>8</v>
      </c>
      <c r="O53" s="1"/>
      <c r="P53" s="1"/>
    </row>
    <row r="54" spans="2:16" x14ac:dyDescent="0.3">
      <c r="B54" s="1" t="s">
        <v>9</v>
      </c>
      <c r="C54" s="1" t="s">
        <v>5</v>
      </c>
      <c r="D54" s="1">
        <v>19.8</v>
      </c>
      <c r="F54" s="1" t="s">
        <v>9</v>
      </c>
      <c r="G54" s="1" t="s">
        <v>5</v>
      </c>
      <c r="H54" s="1">
        <v>27.1</v>
      </c>
      <c r="J54" s="1" t="s">
        <v>9</v>
      </c>
      <c r="K54" s="1" t="s">
        <v>5</v>
      </c>
      <c r="L54" s="1">
        <v>21.8</v>
      </c>
      <c r="N54" s="1" t="s">
        <v>9</v>
      </c>
      <c r="O54" s="1" t="s">
        <v>5</v>
      </c>
      <c r="P54" s="1">
        <v>27.5</v>
      </c>
    </row>
    <row r="55" spans="2:16" x14ac:dyDescent="0.3">
      <c r="B55" s="1" t="s">
        <v>10</v>
      </c>
      <c r="C55" s="1" t="s">
        <v>5</v>
      </c>
      <c r="D55" s="1">
        <v>17.7</v>
      </c>
      <c r="F55" s="1" t="s">
        <v>10</v>
      </c>
      <c r="G55" s="1" t="s">
        <v>5</v>
      </c>
      <c r="H55" s="1">
        <v>20.5</v>
      </c>
      <c r="J55" s="1" t="s">
        <v>10</v>
      </c>
      <c r="K55" s="1" t="s">
        <v>5</v>
      </c>
      <c r="L55" s="1">
        <v>19.2</v>
      </c>
      <c r="N55" s="1" t="s">
        <v>10</v>
      </c>
      <c r="O55" s="1" t="s">
        <v>5</v>
      </c>
      <c r="P55" s="1">
        <v>20.9</v>
      </c>
    </row>
    <row r="56" spans="2:16" x14ac:dyDescent="0.3">
      <c r="B56" s="1" t="s">
        <v>11</v>
      </c>
      <c r="C56" s="1" t="s">
        <v>5</v>
      </c>
      <c r="D56" s="1">
        <v>48.3</v>
      </c>
      <c r="F56" s="1" t="s">
        <v>11</v>
      </c>
      <c r="G56" s="1" t="s">
        <v>5</v>
      </c>
      <c r="H56" s="1">
        <v>45.1</v>
      </c>
      <c r="J56" s="1" t="s">
        <v>11</v>
      </c>
      <c r="K56" s="1" t="s">
        <v>5</v>
      </c>
      <c r="L56" s="1">
        <v>47.3</v>
      </c>
      <c r="N56" s="1" t="s">
        <v>11</v>
      </c>
      <c r="O56" s="1" t="s">
        <v>5</v>
      </c>
      <c r="P56" s="1">
        <v>43.7</v>
      </c>
    </row>
    <row r="57" spans="2:16" x14ac:dyDescent="0.3">
      <c r="B57" s="1" t="s">
        <v>12</v>
      </c>
      <c r="C57" s="1" t="s">
        <v>5</v>
      </c>
      <c r="D57" s="1">
        <v>14.2</v>
      </c>
      <c r="F57" s="1" t="s">
        <v>12</v>
      </c>
      <c r="G57" s="1" t="s">
        <v>5</v>
      </c>
      <c r="H57" s="1">
        <v>7.3</v>
      </c>
      <c r="J57" s="1" t="s">
        <v>12</v>
      </c>
      <c r="K57" s="1" t="s">
        <v>5</v>
      </c>
      <c r="L57" s="1">
        <v>11.7</v>
      </c>
      <c r="N57" s="1" t="s">
        <v>12</v>
      </c>
      <c r="O57" s="1" t="s">
        <v>5</v>
      </c>
      <c r="P57" s="1">
        <v>7.9</v>
      </c>
    </row>
    <row r="59" spans="2:16" x14ac:dyDescent="0.3">
      <c r="B59" s="11" t="s">
        <v>32</v>
      </c>
      <c r="C59" s="11"/>
      <c r="D59" s="11"/>
      <c r="F59" s="11" t="s">
        <v>33</v>
      </c>
      <c r="G59" s="11"/>
      <c r="H59" s="11"/>
    </row>
    <row r="60" spans="2:16" x14ac:dyDescent="0.3">
      <c r="B60" s="1" t="s">
        <v>1</v>
      </c>
      <c r="C60" s="1" t="s">
        <v>6</v>
      </c>
      <c r="D60" s="1" t="s">
        <v>7</v>
      </c>
      <c r="F60" s="1" t="s">
        <v>1</v>
      </c>
      <c r="G60" s="1" t="s">
        <v>6</v>
      </c>
      <c r="H60" s="1" t="s">
        <v>7</v>
      </c>
    </row>
    <row r="61" spans="2:16" x14ac:dyDescent="0.3">
      <c r="B61" s="2" t="s">
        <v>34</v>
      </c>
      <c r="C61" s="1" t="s">
        <v>4</v>
      </c>
      <c r="D61" s="1">
        <v>132544</v>
      </c>
      <c r="F61" s="2" t="s">
        <v>34</v>
      </c>
      <c r="G61" s="1" t="s">
        <v>4</v>
      </c>
      <c r="H61" s="1">
        <v>26104</v>
      </c>
    </row>
    <row r="62" spans="2:16" x14ac:dyDescent="0.3">
      <c r="B62" s="1" t="s">
        <v>2</v>
      </c>
      <c r="C62" s="1" t="s">
        <v>5</v>
      </c>
      <c r="D62" s="1">
        <v>45.8</v>
      </c>
      <c r="F62" s="1" t="s">
        <v>2</v>
      </c>
      <c r="G62" s="1" t="s">
        <v>5</v>
      </c>
      <c r="H62" s="1">
        <v>49.8</v>
      </c>
    </row>
    <row r="63" spans="2:16" x14ac:dyDescent="0.3">
      <c r="B63" s="1" t="s">
        <v>3</v>
      </c>
      <c r="C63" s="1" t="s">
        <v>5</v>
      </c>
      <c r="D63" s="1">
        <v>54.2</v>
      </c>
      <c r="F63" s="1" t="s">
        <v>3</v>
      </c>
      <c r="G63" s="1" t="s">
        <v>5</v>
      </c>
      <c r="H63" s="1">
        <v>50.2</v>
      </c>
    </row>
    <row r="64" spans="2:16" x14ac:dyDescent="0.3">
      <c r="B64" s="2" t="s">
        <v>8</v>
      </c>
      <c r="C64" s="1"/>
      <c r="D64" s="1"/>
      <c r="F64" s="2" t="s">
        <v>8</v>
      </c>
      <c r="G64" s="1"/>
      <c r="H64" s="1"/>
    </row>
    <row r="65" spans="2:8" x14ac:dyDescent="0.3">
      <c r="B65" s="1" t="s">
        <v>9</v>
      </c>
      <c r="C65" s="1" t="s">
        <v>5</v>
      </c>
      <c r="D65" s="1">
        <v>31.1</v>
      </c>
      <c r="F65" s="1" t="s">
        <v>9</v>
      </c>
      <c r="G65" s="1" t="s">
        <v>5</v>
      </c>
      <c r="H65" s="1">
        <v>24.9</v>
      </c>
    </row>
    <row r="66" spans="2:8" x14ac:dyDescent="0.3">
      <c r="B66" s="1" t="s">
        <v>10</v>
      </c>
      <c r="C66" s="1" t="s">
        <v>5</v>
      </c>
      <c r="D66" s="1">
        <v>21.1</v>
      </c>
      <c r="F66" s="1" t="s">
        <v>10</v>
      </c>
      <c r="G66" s="1" t="s">
        <v>5</v>
      </c>
      <c r="H66" s="1">
        <v>20.100000000000001</v>
      </c>
    </row>
    <row r="67" spans="2:8" x14ac:dyDescent="0.3">
      <c r="B67" s="1" t="s">
        <v>11</v>
      </c>
      <c r="C67" s="1" t="s">
        <v>5</v>
      </c>
      <c r="D67" s="1">
        <v>43.1</v>
      </c>
      <c r="F67" s="1" t="s">
        <v>11</v>
      </c>
      <c r="G67" s="1" t="s">
        <v>5</v>
      </c>
      <c r="H67" s="1">
        <v>48.2</v>
      </c>
    </row>
    <row r="68" spans="2:8" x14ac:dyDescent="0.3">
      <c r="B68" s="1" t="s">
        <v>12</v>
      </c>
      <c r="C68" s="1" t="s">
        <v>5</v>
      </c>
      <c r="D68" s="1">
        <v>4.5999999999999996</v>
      </c>
      <c r="F68" s="1" t="s">
        <v>12</v>
      </c>
      <c r="G68" s="1" t="s">
        <v>5</v>
      </c>
      <c r="H68" s="1">
        <v>6.9</v>
      </c>
    </row>
  </sheetData>
  <mergeCells count="23">
    <mergeCell ref="B2:P2"/>
    <mergeCell ref="B4:D4"/>
    <mergeCell ref="F4:H4"/>
    <mergeCell ref="J4:L4"/>
    <mergeCell ref="N4:P4"/>
    <mergeCell ref="B15:D15"/>
    <mergeCell ref="F15:H15"/>
    <mergeCell ref="J15:L15"/>
    <mergeCell ref="N15:P15"/>
    <mergeCell ref="B26:D26"/>
    <mergeCell ref="F26:H26"/>
    <mergeCell ref="J26:L26"/>
    <mergeCell ref="N26:P26"/>
    <mergeCell ref="N37:P37"/>
    <mergeCell ref="B48:D48"/>
    <mergeCell ref="F48:H48"/>
    <mergeCell ref="J48:L48"/>
    <mergeCell ref="N48:P48"/>
    <mergeCell ref="B59:D59"/>
    <mergeCell ref="F59:H59"/>
    <mergeCell ref="B37:D37"/>
    <mergeCell ref="F37:H37"/>
    <mergeCell ref="J37:L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Resumen</vt:lpstr>
      <vt:lpstr>Poblacion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Caceres Medina</dc:creator>
  <cp:lastModifiedBy>Daniela Valdés Cárdenas</cp:lastModifiedBy>
  <dcterms:created xsi:type="dcterms:W3CDTF">2024-07-09T13:23:11Z</dcterms:created>
  <dcterms:modified xsi:type="dcterms:W3CDTF">2026-01-06T15:28:17Z</dcterms:modified>
</cp:coreProperties>
</file>