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CD0CED4-775A-4413-BE65-F4BFE3A57005}" xr6:coauthVersionLast="47" xr6:coauthVersionMax="47" xr10:uidLastSave="{00000000-0000-0000-0000-000000000000}"/>
  <bookViews>
    <workbookView xWindow="-108" yWindow="-108" windowWidth="23256" windowHeight="12456" xr2:uid="{4532E9EE-215E-4A83-841F-101580453AC1}"/>
  </bookViews>
  <sheets>
    <sheet name="Hoja1" sheetId="4" r:id="rId1"/>
    <sheet name="POB Municipios" sheetId="1" r:id="rId2"/>
    <sheet name="POB Comunas" sheetId="2" r:id="rId3"/>
    <sheet name="TiposTransport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2" l="1"/>
  <c r="K52" i="2"/>
  <c r="L52" i="2"/>
  <c r="M52" i="2"/>
  <c r="N52" i="2"/>
  <c r="O52" i="2"/>
  <c r="P52" i="2"/>
  <c r="Q52" i="2"/>
  <c r="R52" i="2"/>
  <c r="S52" i="2"/>
  <c r="T52" i="2"/>
  <c r="U52" i="2"/>
  <c r="V52" i="2"/>
  <c r="I52" i="2"/>
  <c r="E52" i="2"/>
  <c r="D52" i="2"/>
  <c r="D53" i="2" s="1"/>
  <c r="J49" i="1"/>
  <c r="J51" i="1" s="1"/>
  <c r="J50" i="1"/>
  <c r="J48" i="1"/>
  <c r="J47" i="1"/>
  <c r="K47" i="1" s="1"/>
  <c r="J46" i="1"/>
  <c r="K46" i="1" s="1"/>
  <c r="J45" i="1"/>
  <c r="J44" i="1"/>
  <c r="D46" i="1"/>
  <c r="D45" i="1"/>
  <c r="D44" i="1"/>
  <c r="D32" i="1"/>
  <c r="E32" i="1"/>
  <c r="F32" i="1"/>
  <c r="G32" i="1"/>
  <c r="D33" i="1"/>
  <c r="O33" i="1" s="1"/>
  <c r="E33" i="1"/>
  <c r="F33" i="1"/>
  <c r="G33" i="1"/>
  <c r="D34" i="1"/>
  <c r="O34" i="1" s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C33" i="1"/>
  <c r="C34" i="1"/>
  <c r="C35" i="1"/>
  <c r="C36" i="1"/>
  <c r="O36" i="1" s="1"/>
  <c r="C37" i="1"/>
  <c r="O37" i="1" s="1"/>
  <c r="C38" i="1"/>
  <c r="O38" i="1" s="1"/>
  <c r="C39" i="1"/>
  <c r="C40" i="1"/>
  <c r="C32" i="1"/>
  <c r="O32" i="1" s="1"/>
  <c r="O35" i="1"/>
  <c r="W18" i="1"/>
  <c r="V18" i="1"/>
  <c r="K48" i="1" l="1"/>
  <c r="K51" i="1"/>
  <c r="K50" i="1"/>
  <c r="K45" i="1"/>
  <c r="K44" i="1"/>
  <c r="K49" i="1"/>
  <c r="D47" i="1"/>
  <c r="O40" i="1"/>
  <c r="E24" i="2"/>
  <c r="D24" i="2"/>
  <c r="I53" i="2"/>
  <c r="O39" i="1"/>
  <c r="M5" i="3"/>
  <c r="E44" i="1" l="1"/>
  <c r="E45" i="1"/>
  <c r="E46" i="1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E47" i="1" l="1"/>
  <c r="M4" i="1"/>
  <c r="V19" i="1"/>
  <c r="H5" i="1" s="1"/>
  <c r="V20" i="1"/>
  <c r="V21" i="1"/>
  <c r="V22" i="1"/>
  <c r="V23" i="1"/>
  <c r="V24" i="1"/>
  <c r="V25" i="1"/>
  <c r="V26" i="1"/>
  <c r="W19" i="1"/>
  <c r="W20" i="1"/>
  <c r="W21" i="1"/>
  <c r="W22" i="1"/>
  <c r="W23" i="1"/>
  <c r="W24" i="1"/>
  <c r="W25" i="1"/>
  <c r="W26" i="1"/>
  <c r="X51" i="2"/>
  <c r="F51" i="2" s="1"/>
  <c r="X32" i="2"/>
  <c r="F32" i="2" s="1"/>
  <c r="X33" i="2"/>
  <c r="D5" i="2" s="1"/>
  <c r="X34" i="2"/>
  <c r="G34" i="2" s="1"/>
  <c r="X35" i="2"/>
  <c r="E7" i="2" s="1"/>
  <c r="X36" i="2"/>
  <c r="H36" i="2" s="1"/>
  <c r="X37" i="2"/>
  <c r="F37" i="2" s="1"/>
  <c r="X38" i="2"/>
  <c r="D10" i="2" s="1"/>
  <c r="X39" i="2"/>
  <c r="F39" i="2" s="1"/>
  <c r="X40" i="2"/>
  <c r="G40" i="2" s="1"/>
  <c r="X41" i="2"/>
  <c r="D13" i="2" s="1"/>
  <c r="X42" i="2"/>
  <c r="G42" i="2" s="1"/>
  <c r="X43" i="2"/>
  <c r="F43" i="2" s="1"/>
  <c r="X44" i="2"/>
  <c r="G44" i="2" s="1"/>
  <c r="X45" i="2"/>
  <c r="H45" i="2" s="1"/>
  <c r="X46" i="2"/>
  <c r="G46" i="2" s="1"/>
  <c r="X47" i="2"/>
  <c r="F47" i="2" s="1"/>
  <c r="X48" i="2"/>
  <c r="G48" i="2" s="1"/>
  <c r="X49" i="2"/>
  <c r="D21" i="2" s="1"/>
  <c r="X50" i="2"/>
  <c r="G50" i="2" s="1"/>
  <c r="X31" i="2"/>
  <c r="E16" i="2" l="1"/>
  <c r="E20" i="2"/>
  <c r="H31" i="2"/>
  <c r="X52" i="2"/>
  <c r="D8" i="2"/>
  <c r="H51" i="2"/>
  <c r="E11" i="2"/>
  <c r="G32" i="2"/>
  <c r="H32" i="2"/>
  <c r="F40" i="2"/>
  <c r="E23" i="2"/>
  <c r="D12" i="2"/>
  <c r="G31" i="2"/>
  <c r="F44" i="2"/>
  <c r="F36" i="2"/>
  <c r="H35" i="2"/>
  <c r="H43" i="2"/>
  <c r="D20" i="2"/>
  <c r="W20" i="2" s="1"/>
  <c r="E8" i="2"/>
  <c r="H50" i="2"/>
  <c r="H42" i="2"/>
  <c r="H34" i="2"/>
  <c r="E19" i="2"/>
  <c r="G49" i="2"/>
  <c r="G41" i="2"/>
  <c r="G33" i="2"/>
  <c r="F48" i="2"/>
  <c r="D16" i="2"/>
  <c r="W16" i="2" s="1"/>
  <c r="E4" i="2"/>
  <c r="H47" i="2"/>
  <c r="H39" i="2"/>
  <c r="D3" i="2"/>
  <c r="W3" i="2" s="1"/>
  <c r="E15" i="2"/>
  <c r="D4" i="2"/>
  <c r="G47" i="2"/>
  <c r="G39" i="2"/>
  <c r="E3" i="2"/>
  <c r="E12" i="2"/>
  <c r="W12" i="2" s="1"/>
  <c r="F31" i="2"/>
  <c r="G45" i="2"/>
  <c r="G37" i="2"/>
  <c r="U4" i="1"/>
  <c r="P4" i="1"/>
  <c r="L4" i="1"/>
  <c r="J32" i="1" s="1"/>
  <c r="K4" i="1"/>
  <c r="T4" i="1"/>
  <c r="N32" i="1" s="1"/>
  <c r="F45" i="2"/>
  <c r="F50" i="2"/>
  <c r="H44" i="2"/>
  <c r="F42" i="2"/>
  <c r="F34" i="2"/>
  <c r="D23" i="2"/>
  <c r="D19" i="2"/>
  <c r="D15" i="2"/>
  <c r="D11" i="2"/>
  <c r="W11" i="2" s="1"/>
  <c r="D7" i="2"/>
  <c r="W7" i="2" s="1"/>
  <c r="H49" i="2"/>
  <c r="H41" i="2"/>
  <c r="G36" i="2"/>
  <c r="H33" i="2"/>
  <c r="E18" i="2"/>
  <c r="E6" i="2"/>
  <c r="H38" i="2"/>
  <c r="F33" i="2"/>
  <c r="E14" i="2"/>
  <c r="D14" i="2"/>
  <c r="F49" i="2"/>
  <c r="G38" i="2"/>
  <c r="E17" i="2"/>
  <c r="E13" i="2"/>
  <c r="W13" i="2" s="1"/>
  <c r="E9" i="2"/>
  <c r="E5" i="2"/>
  <c r="G51" i="2"/>
  <c r="H48" i="2"/>
  <c r="F46" i="2"/>
  <c r="G43" i="2"/>
  <c r="H40" i="2"/>
  <c r="F38" i="2"/>
  <c r="G35" i="2"/>
  <c r="E22" i="2"/>
  <c r="E10" i="2"/>
  <c r="W10" i="2" s="1"/>
  <c r="H46" i="2"/>
  <c r="D22" i="2"/>
  <c r="D18" i="2"/>
  <c r="W18" i="2" s="1"/>
  <c r="D6" i="2"/>
  <c r="F41" i="2"/>
  <c r="E21" i="2"/>
  <c r="W21" i="2" s="1"/>
  <c r="D17" i="2"/>
  <c r="D9" i="2"/>
  <c r="H37" i="2"/>
  <c r="F35" i="2"/>
  <c r="J4" i="1"/>
  <c r="R4" i="1"/>
  <c r="M32" i="1" s="1"/>
  <c r="I4" i="1"/>
  <c r="Q4" i="1"/>
  <c r="O5" i="1"/>
  <c r="N5" i="1"/>
  <c r="K33" i="1" s="1"/>
  <c r="S4" i="1"/>
  <c r="O4" i="1"/>
  <c r="N4" i="1"/>
  <c r="H4" i="1"/>
  <c r="T5" i="1"/>
  <c r="L5" i="1"/>
  <c r="M5" i="1"/>
  <c r="S5" i="1"/>
  <c r="K5" i="1"/>
  <c r="U5" i="1"/>
  <c r="J5" i="1"/>
  <c r="Q5" i="1"/>
  <c r="I5" i="1"/>
  <c r="H33" i="1" s="1"/>
  <c r="R5" i="1"/>
  <c r="P5" i="1"/>
  <c r="L33" i="1" s="1"/>
  <c r="W5" i="2"/>
  <c r="W37" i="2"/>
  <c r="I9" i="2" s="1"/>
  <c r="W35" i="2"/>
  <c r="M7" i="2" s="1"/>
  <c r="W32" i="2"/>
  <c r="O4" i="2" s="1"/>
  <c r="W33" i="2"/>
  <c r="I5" i="2" s="1"/>
  <c r="W34" i="2"/>
  <c r="K6" i="2" s="1"/>
  <c r="W36" i="2"/>
  <c r="O8" i="2" s="1"/>
  <c r="W38" i="2"/>
  <c r="K10" i="2" s="1"/>
  <c r="W39" i="2"/>
  <c r="M11" i="2" s="1"/>
  <c r="W40" i="2"/>
  <c r="O12" i="2" s="1"/>
  <c r="W41" i="2"/>
  <c r="I13" i="2" s="1"/>
  <c r="W42" i="2"/>
  <c r="Q14" i="2" s="1"/>
  <c r="W43" i="2"/>
  <c r="N15" i="2" s="1"/>
  <c r="W44" i="2"/>
  <c r="P16" i="2" s="1"/>
  <c r="W45" i="2"/>
  <c r="J17" i="2" s="1"/>
  <c r="W46" i="2"/>
  <c r="L18" i="2" s="1"/>
  <c r="W47" i="2"/>
  <c r="N19" i="2" s="1"/>
  <c r="W48" i="2"/>
  <c r="P20" i="2" s="1"/>
  <c r="W49" i="2"/>
  <c r="J21" i="2" s="1"/>
  <c r="W50" i="2"/>
  <c r="L22" i="2" s="1"/>
  <c r="W51" i="2"/>
  <c r="N23" i="2" s="1"/>
  <c r="W31" i="2"/>
  <c r="I32" i="1" l="1"/>
  <c r="J33" i="1"/>
  <c r="L32" i="1"/>
  <c r="H32" i="1"/>
  <c r="W8" i="2"/>
  <c r="W17" i="2"/>
  <c r="M33" i="1"/>
  <c r="W22" i="2"/>
  <c r="N33" i="1"/>
  <c r="W9" i="2"/>
  <c r="W23" i="2"/>
  <c r="K32" i="1"/>
  <c r="I33" i="1"/>
  <c r="R18" i="2"/>
  <c r="W19" i="2"/>
  <c r="W6" i="2"/>
  <c r="L63" i="2"/>
  <c r="M69" i="2"/>
  <c r="W14" i="2"/>
  <c r="W4" i="2"/>
  <c r="W15" i="2"/>
  <c r="K3" i="2"/>
  <c r="W52" i="2"/>
  <c r="G52" i="2"/>
  <c r="F52" i="2"/>
  <c r="H52" i="2"/>
  <c r="Q18" i="2"/>
  <c r="M73" i="2" s="1"/>
  <c r="K6" i="1"/>
  <c r="L6" i="1"/>
  <c r="J34" i="1" s="1"/>
  <c r="T6" i="1"/>
  <c r="M6" i="1"/>
  <c r="U6" i="1"/>
  <c r="I6" i="1"/>
  <c r="R6" i="1"/>
  <c r="M34" i="1" s="1"/>
  <c r="N6" i="1"/>
  <c r="O6" i="1"/>
  <c r="J6" i="1"/>
  <c r="H6" i="1"/>
  <c r="P6" i="1"/>
  <c r="Q6" i="1"/>
  <c r="S6" i="1"/>
  <c r="J8" i="1"/>
  <c r="K8" i="1"/>
  <c r="S8" i="1"/>
  <c r="O8" i="1"/>
  <c r="P8" i="1"/>
  <c r="L36" i="1" s="1"/>
  <c r="L8" i="1"/>
  <c r="J36" i="1" s="1"/>
  <c r="T8" i="1"/>
  <c r="N36" i="1" s="1"/>
  <c r="H8" i="1"/>
  <c r="M8" i="1"/>
  <c r="U8" i="1"/>
  <c r="I8" i="1"/>
  <c r="N8" i="1"/>
  <c r="Q8" i="1"/>
  <c r="R8" i="1"/>
  <c r="J12" i="1"/>
  <c r="K12" i="1"/>
  <c r="S12" i="1"/>
  <c r="U12" i="1"/>
  <c r="O12" i="1"/>
  <c r="H12" i="1"/>
  <c r="R12" i="1"/>
  <c r="L12" i="1"/>
  <c r="T12" i="1"/>
  <c r="I12" i="1"/>
  <c r="M12" i="1"/>
  <c r="N12" i="1"/>
  <c r="P12" i="1"/>
  <c r="Q12" i="1"/>
  <c r="H7" i="1"/>
  <c r="H35" i="1" s="1"/>
  <c r="P7" i="1"/>
  <c r="Q7" i="1"/>
  <c r="L7" i="1"/>
  <c r="J35" i="1" s="1"/>
  <c r="M7" i="1"/>
  <c r="I7" i="1"/>
  <c r="R7" i="1"/>
  <c r="O7" i="1"/>
  <c r="J7" i="1"/>
  <c r="S7" i="1"/>
  <c r="K7" i="1"/>
  <c r="T7" i="1"/>
  <c r="U7" i="1"/>
  <c r="N7" i="1"/>
  <c r="K35" i="1" s="1"/>
  <c r="O10" i="1"/>
  <c r="K10" i="1"/>
  <c r="L10" i="1"/>
  <c r="M10" i="1"/>
  <c r="H10" i="1"/>
  <c r="H38" i="1" s="1"/>
  <c r="P10" i="1"/>
  <c r="L38" i="1" s="1"/>
  <c r="I10" i="1"/>
  <c r="Q10" i="1"/>
  <c r="N10" i="1"/>
  <c r="J10" i="1"/>
  <c r="I38" i="1" s="1"/>
  <c r="R10" i="1"/>
  <c r="M38" i="1" s="1"/>
  <c r="S10" i="1"/>
  <c r="T10" i="1"/>
  <c r="N38" i="1" s="1"/>
  <c r="U10" i="1"/>
  <c r="H11" i="1"/>
  <c r="I11" i="1"/>
  <c r="Q11" i="1"/>
  <c r="J11" i="1"/>
  <c r="R11" i="1"/>
  <c r="N11" i="1"/>
  <c r="K11" i="1"/>
  <c r="S11" i="1"/>
  <c r="M11" i="1"/>
  <c r="O11" i="1"/>
  <c r="L11" i="1"/>
  <c r="J39" i="1" s="1"/>
  <c r="T11" i="1"/>
  <c r="N39" i="1" s="1"/>
  <c r="U11" i="1"/>
  <c r="P11" i="1"/>
  <c r="S9" i="1"/>
  <c r="L9" i="1"/>
  <c r="J37" i="1" s="1"/>
  <c r="M9" i="1"/>
  <c r="U9" i="1"/>
  <c r="T9" i="1"/>
  <c r="N37" i="1" s="1"/>
  <c r="N9" i="1"/>
  <c r="Q9" i="1"/>
  <c r="K9" i="1"/>
  <c r="O9" i="1"/>
  <c r="J9" i="1"/>
  <c r="H9" i="1"/>
  <c r="P9" i="1"/>
  <c r="I9" i="1"/>
  <c r="R9" i="1"/>
  <c r="M37" i="1" s="1"/>
  <c r="M16" i="2"/>
  <c r="N16" i="2"/>
  <c r="S11" i="2"/>
  <c r="O3" i="2"/>
  <c r="K11" i="2"/>
  <c r="O14" i="2"/>
  <c r="L69" i="2" s="1"/>
  <c r="I22" i="2"/>
  <c r="I77" i="2" s="1"/>
  <c r="P17" i="2"/>
  <c r="P8" i="2"/>
  <c r="O17" i="2"/>
  <c r="L72" i="2" s="1"/>
  <c r="M8" i="2"/>
  <c r="L3" i="2"/>
  <c r="P6" i="2"/>
  <c r="S22" i="2"/>
  <c r="I6" i="2"/>
  <c r="R22" i="2"/>
  <c r="P14" i="2"/>
  <c r="I3" i="2"/>
  <c r="T23" i="2"/>
  <c r="Q22" i="2"/>
  <c r="P21" i="2"/>
  <c r="M18" i="2"/>
  <c r="N17" i="2"/>
  <c r="I16" i="2"/>
  <c r="L14" i="2"/>
  <c r="Q10" i="2"/>
  <c r="L8" i="2"/>
  <c r="O5" i="2"/>
  <c r="L60" i="2" s="1"/>
  <c r="J3" i="2"/>
  <c r="S23" i="2"/>
  <c r="P22" i="2"/>
  <c r="O21" i="2"/>
  <c r="J18" i="2"/>
  <c r="K17" i="2"/>
  <c r="T15" i="2"/>
  <c r="J14" i="2"/>
  <c r="P10" i="2"/>
  <c r="S7" i="2"/>
  <c r="U4" i="2"/>
  <c r="T3" i="2"/>
  <c r="L23" i="2"/>
  <c r="N22" i="2"/>
  <c r="K21" i="2"/>
  <c r="J76" i="2" s="1"/>
  <c r="I18" i="2"/>
  <c r="I73" i="2" s="1"/>
  <c r="I17" i="2"/>
  <c r="I72" i="2" s="1"/>
  <c r="L15" i="2"/>
  <c r="I14" i="2"/>
  <c r="I10" i="2"/>
  <c r="R7" i="2"/>
  <c r="T4" i="2"/>
  <c r="R3" i="2"/>
  <c r="K23" i="2"/>
  <c r="M22" i="2"/>
  <c r="T19" i="2"/>
  <c r="V17" i="2"/>
  <c r="V16" i="2"/>
  <c r="U14" i="2"/>
  <c r="V13" i="2"/>
  <c r="U8" i="2"/>
  <c r="O63" i="2" s="1"/>
  <c r="K7" i="2"/>
  <c r="P4" i="2"/>
  <c r="L59" i="2" s="1"/>
  <c r="S21" i="2"/>
  <c r="N76" i="2" s="1"/>
  <c r="Q3" i="2"/>
  <c r="M58" i="2" s="1"/>
  <c r="V22" i="2"/>
  <c r="K22" i="2"/>
  <c r="J77" i="2" s="1"/>
  <c r="L19" i="2"/>
  <c r="S17" i="2"/>
  <c r="N72" i="2" s="1"/>
  <c r="U16" i="2"/>
  <c r="O71" i="2" s="1"/>
  <c r="S14" i="2"/>
  <c r="O13" i="2"/>
  <c r="T8" i="2"/>
  <c r="J7" i="2"/>
  <c r="M4" i="2"/>
  <c r="P3" i="2"/>
  <c r="U22" i="2"/>
  <c r="J22" i="2"/>
  <c r="U18" i="2"/>
  <c r="Q17" i="2"/>
  <c r="M72" i="2" s="1"/>
  <c r="Q16" i="2"/>
  <c r="M71" i="2" s="1"/>
  <c r="R14" i="2"/>
  <c r="N13" i="2"/>
  <c r="S8" i="2"/>
  <c r="Q6" i="2"/>
  <c r="L4" i="2"/>
  <c r="U20" i="2"/>
  <c r="U23" i="2"/>
  <c r="M23" i="2"/>
  <c r="K78" i="2" s="1"/>
  <c r="Q21" i="2"/>
  <c r="I21" i="2"/>
  <c r="I76" i="2" s="1"/>
  <c r="O20" i="2"/>
  <c r="L75" i="2" s="1"/>
  <c r="U19" i="2"/>
  <c r="M19" i="2"/>
  <c r="K74" i="2" s="1"/>
  <c r="S18" i="2"/>
  <c r="K18" i="2"/>
  <c r="J73" i="2" s="1"/>
  <c r="O16" i="2"/>
  <c r="L71" i="2" s="1"/>
  <c r="U15" i="2"/>
  <c r="M15" i="2"/>
  <c r="K70" i="2" s="1"/>
  <c r="P13" i="2"/>
  <c r="V12" i="2"/>
  <c r="N12" i="2"/>
  <c r="T11" i="2"/>
  <c r="L11" i="2"/>
  <c r="R10" i="2"/>
  <c r="J10" i="2"/>
  <c r="P9" i="2"/>
  <c r="V8" i="2"/>
  <c r="N8" i="2"/>
  <c r="T7" i="2"/>
  <c r="L7" i="2"/>
  <c r="R6" i="2"/>
  <c r="J6" i="2"/>
  <c r="P5" i="2"/>
  <c r="V4" i="2"/>
  <c r="N4" i="2"/>
  <c r="V20" i="2"/>
  <c r="K19" i="2"/>
  <c r="S15" i="2"/>
  <c r="K15" i="2"/>
  <c r="J70" i="2" s="1"/>
  <c r="T12" i="2"/>
  <c r="L12" i="2"/>
  <c r="R11" i="2"/>
  <c r="V9" i="2"/>
  <c r="N9" i="2"/>
  <c r="V5" i="2"/>
  <c r="N5" i="2"/>
  <c r="M20" i="2"/>
  <c r="K75" i="2" s="1"/>
  <c r="J11" i="2"/>
  <c r="J23" i="2"/>
  <c r="V21" i="2"/>
  <c r="T20" i="2"/>
  <c r="L20" i="2"/>
  <c r="J19" i="2"/>
  <c r="P18" i="2"/>
  <c r="T16" i="2"/>
  <c r="R15" i="2"/>
  <c r="J15" i="2"/>
  <c r="U13" i="2"/>
  <c r="M13" i="2"/>
  <c r="K68" i="2" s="1"/>
  <c r="K12" i="2"/>
  <c r="J67" i="2" s="1"/>
  <c r="Q11" i="2"/>
  <c r="I11" i="2"/>
  <c r="O10" i="2"/>
  <c r="U9" i="2"/>
  <c r="M9" i="2"/>
  <c r="K8" i="2"/>
  <c r="Q7" i="2"/>
  <c r="M62" i="2" s="1"/>
  <c r="I7" i="2"/>
  <c r="I62" i="2" s="1"/>
  <c r="O6" i="2"/>
  <c r="U5" i="2"/>
  <c r="O60" i="2" s="1"/>
  <c r="M5" i="2"/>
  <c r="S4" i="2"/>
  <c r="N59" i="2" s="1"/>
  <c r="K4" i="2"/>
  <c r="N20" i="2"/>
  <c r="S19" i="2"/>
  <c r="R23" i="2"/>
  <c r="N21" i="2"/>
  <c r="R19" i="2"/>
  <c r="L16" i="2"/>
  <c r="S12" i="2"/>
  <c r="N67" i="2" s="1"/>
  <c r="V3" i="2"/>
  <c r="N3" i="2"/>
  <c r="Q23" i="2"/>
  <c r="I23" i="2"/>
  <c r="I78" i="2" s="1"/>
  <c r="O22" i="2"/>
  <c r="U21" i="2"/>
  <c r="O76" i="2" s="1"/>
  <c r="M21" i="2"/>
  <c r="S20" i="2"/>
  <c r="N75" i="2" s="1"/>
  <c r="K20" i="2"/>
  <c r="Q19" i="2"/>
  <c r="I19" i="2"/>
  <c r="I74" i="2" s="1"/>
  <c r="O18" i="2"/>
  <c r="L73" i="2" s="1"/>
  <c r="U17" i="2"/>
  <c r="M17" i="2"/>
  <c r="S16" i="2"/>
  <c r="N71" i="2" s="1"/>
  <c r="K16" i="2"/>
  <c r="J71" i="2" s="1"/>
  <c r="Q15" i="2"/>
  <c r="I15" i="2"/>
  <c r="N14" i="2"/>
  <c r="T13" i="2"/>
  <c r="L13" i="2"/>
  <c r="R12" i="2"/>
  <c r="J12" i="2"/>
  <c r="P11" i="2"/>
  <c r="V10" i="2"/>
  <c r="N10" i="2"/>
  <c r="T9" i="2"/>
  <c r="L9" i="2"/>
  <c r="R8" i="2"/>
  <c r="J8" i="2"/>
  <c r="P7" i="2"/>
  <c r="V6" i="2"/>
  <c r="N6" i="2"/>
  <c r="T5" i="2"/>
  <c r="L5" i="2"/>
  <c r="R4" i="2"/>
  <c r="J4" i="2"/>
  <c r="O9" i="2"/>
  <c r="L64" i="2" s="1"/>
  <c r="U3" i="2"/>
  <c r="O58" i="2" s="1"/>
  <c r="M3" i="2"/>
  <c r="K58" i="2" s="1"/>
  <c r="P23" i="2"/>
  <c r="T21" i="2"/>
  <c r="L21" i="2"/>
  <c r="R20" i="2"/>
  <c r="J20" i="2"/>
  <c r="P19" i="2"/>
  <c r="V18" i="2"/>
  <c r="N18" i="2"/>
  <c r="T17" i="2"/>
  <c r="L17" i="2"/>
  <c r="R16" i="2"/>
  <c r="J16" i="2"/>
  <c r="P15" i="2"/>
  <c r="V14" i="2"/>
  <c r="M14" i="2"/>
  <c r="K69" i="2" s="1"/>
  <c r="S13" i="2"/>
  <c r="N68" i="2" s="1"/>
  <c r="K13" i="2"/>
  <c r="Q12" i="2"/>
  <c r="I12" i="2"/>
  <c r="O11" i="2"/>
  <c r="U10" i="2"/>
  <c r="M10" i="2"/>
  <c r="K65" i="2" s="1"/>
  <c r="S9" i="2"/>
  <c r="K9" i="2"/>
  <c r="J64" i="2" s="1"/>
  <c r="Q8" i="2"/>
  <c r="I8" i="2"/>
  <c r="O7" i="2"/>
  <c r="U6" i="2"/>
  <c r="M6" i="2"/>
  <c r="K61" i="2" s="1"/>
  <c r="S5" i="2"/>
  <c r="N60" i="2" s="1"/>
  <c r="K5" i="2"/>
  <c r="J60" i="2" s="1"/>
  <c r="Q4" i="2"/>
  <c r="I4" i="2"/>
  <c r="M12" i="2"/>
  <c r="I20" i="2"/>
  <c r="I75" i="2" s="1"/>
  <c r="T10" i="2"/>
  <c r="U12" i="2"/>
  <c r="O23" i="2"/>
  <c r="Q20" i="2"/>
  <c r="O19" i="2"/>
  <c r="L74" i="2" s="1"/>
  <c r="O15" i="2"/>
  <c r="R13" i="2"/>
  <c r="J13" i="2"/>
  <c r="I68" i="2" s="1"/>
  <c r="P12" i="2"/>
  <c r="L67" i="2" s="1"/>
  <c r="V11" i="2"/>
  <c r="N11" i="2"/>
  <c r="K66" i="2" s="1"/>
  <c r="L10" i="2"/>
  <c r="J65" i="2" s="1"/>
  <c r="R9" i="2"/>
  <c r="J9" i="2"/>
  <c r="I64" i="2" s="1"/>
  <c r="V7" i="2"/>
  <c r="N7" i="2"/>
  <c r="K62" i="2" s="1"/>
  <c r="T6" i="2"/>
  <c r="L6" i="2"/>
  <c r="J61" i="2" s="1"/>
  <c r="R5" i="2"/>
  <c r="J5" i="2"/>
  <c r="I60" i="2" s="1"/>
  <c r="V23" i="2"/>
  <c r="S3" i="2"/>
  <c r="T22" i="2"/>
  <c r="R21" i="2"/>
  <c r="V19" i="2"/>
  <c r="T18" i="2"/>
  <c r="R17" i="2"/>
  <c r="V15" i="2"/>
  <c r="T14" i="2"/>
  <c r="K14" i="2"/>
  <c r="J69" i="2" s="1"/>
  <c r="Q13" i="2"/>
  <c r="M68" i="2" s="1"/>
  <c r="U11" i="2"/>
  <c r="S10" i="2"/>
  <c r="Q9" i="2"/>
  <c r="U7" i="2"/>
  <c r="O62" i="2" s="1"/>
  <c r="S6" i="2"/>
  <c r="N61" i="2" s="1"/>
  <c r="Q5" i="2"/>
  <c r="M60" i="2" s="1"/>
  <c r="L35" i="1" l="1"/>
  <c r="K34" i="1"/>
  <c r="K37" i="1"/>
  <c r="O77" i="2"/>
  <c r="K60" i="2"/>
  <c r="P60" i="2" s="1"/>
  <c r="N78" i="2"/>
  <c r="P76" i="2"/>
  <c r="K77" i="2"/>
  <c r="P77" i="2" s="1"/>
  <c r="M59" i="2"/>
  <c r="N66" i="2"/>
  <c r="K38" i="1"/>
  <c r="L40" i="1"/>
  <c r="O66" i="2"/>
  <c r="P68" i="2"/>
  <c r="N62" i="2"/>
  <c r="N77" i="2"/>
  <c r="K39" i="1"/>
  <c r="K40" i="1"/>
  <c r="M36" i="1"/>
  <c r="M39" i="1"/>
  <c r="I35" i="1"/>
  <c r="I36" i="1"/>
  <c r="N34" i="1"/>
  <c r="N58" i="2"/>
  <c r="I39" i="1"/>
  <c r="N65" i="2"/>
  <c r="G54" i="2"/>
  <c r="N64" i="2"/>
  <c r="O65" i="2"/>
  <c r="K36" i="1"/>
  <c r="M75" i="2"/>
  <c r="K76" i="2"/>
  <c r="L65" i="2"/>
  <c r="L68" i="2"/>
  <c r="J72" i="2"/>
  <c r="P72" i="2" s="1"/>
  <c r="L37" i="1"/>
  <c r="L39" i="1"/>
  <c r="J40" i="1"/>
  <c r="L34" i="1"/>
  <c r="J78" i="2"/>
  <c r="P78" i="2" s="1"/>
  <c r="N35" i="1"/>
  <c r="O59" i="2"/>
  <c r="O64" i="2"/>
  <c r="L78" i="2"/>
  <c r="I70" i="2"/>
  <c r="N73" i="2"/>
  <c r="H37" i="1"/>
  <c r="H39" i="1"/>
  <c r="J38" i="1"/>
  <c r="M40" i="1"/>
  <c r="H34" i="1"/>
  <c r="H54" i="2"/>
  <c r="I40" i="1"/>
  <c r="I69" i="2"/>
  <c r="M35" i="1"/>
  <c r="N40" i="1"/>
  <c r="M66" i="2"/>
  <c r="M77" i="2"/>
  <c r="I37" i="1"/>
  <c r="H40" i="1"/>
  <c r="H36" i="1"/>
  <c r="I34" i="1"/>
  <c r="F54" i="2"/>
  <c r="O78" i="2"/>
  <c r="I66" i="2"/>
  <c r="N70" i="2"/>
  <c r="O73" i="2"/>
  <c r="N69" i="2"/>
  <c r="J66" i="2"/>
  <c r="I61" i="2"/>
  <c r="K72" i="2"/>
  <c r="O75" i="2"/>
  <c r="P75" i="2" s="1"/>
  <c r="M64" i="2"/>
  <c r="O67" i="2"/>
  <c r="O72" i="2"/>
  <c r="L77" i="2"/>
  <c r="L61" i="2"/>
  <c r="J74" i="2"/>
  <c r="J62" i="2"/>
  <c r="L58" i="2"/>
  <c r="F53" i="2"/>
  <c r="F24" i="2" s="1"/>
  <c r="G24" i="2"/>
  <c r="K73" i="2"/>
  <c r="P73" i="2" s="1"/>
  <c r="I67" i="2"/>
  <c r="N74" i="2"/>
  <c r="M65" i="2"/>
  <c r="N24" i="2"/>
  <c r="W24" i="2"/>
  <c r="V24" i="2"/>
  <c r="M24" i="2"/>
  <c r="U24" i="2"/>
  <c r="Q24" i="2"/>
  <c r="S24" i="2"/>
  <c r="O24" i="2"/>
  <c r="R24" i="2"/>
  <c r="T24" i="2"/>
  <c r="J24" i="2"/>
  <c r="L24" i="2"/>
  <c r="K24" i="2"/>
  <c r="P24" i="2"/>
  <c r="I24" i="2"/>
  <c r="O61" i="2"/>
  <c r="L66" i="2"/>
  <c r="O74" i="2"/>
  <c r="K63" i="2"/>
  <c r="L62" i="2"/>
  <c r="P62" i="2" s="1"/>
  <c r="M78" i="2"/>
  <c r="K67" i="2"/>
  <c r="I63" i="2"/>
  <c r="M67" i="2"/>
  <c r="M74" i="2"/>
  <c r="P74" i="2" s="1"/>
  <c r="J63" i="2"/>
  <c r="O68" i="2"/>
  <c r="K59" i="2"/>
  <c r="O69" i="2"/>
  <c r="K71" i="2"/>
  <c r="J58" i="2"/>
  <c r="M61" i="2"/>
  <c r="N63" i="2"/>
  <c r="I58" i="2"/>
  <c r="P58" i="2" s="1"/>
  <c r="L70" i="2"/>
  <c r="I59" i="2"/>
  <c r="M63" i="2"/>
  <c r="J68" i="2"/>
  <c r="M70" i="2"/>
  <c r="J75" i="2"/>
  <c r="J59" i="2"/>
  <c r="K64" i="2"/>
  <c r="P64" i="2" s="1"/>
  <c r="O70" i="2"/>
  <c r="M76" i="2"/>
  <c r="I65" i="2"/>
  <c r="L76" i="2"/>
  <c r="I71" i="2"/>
  <c r="P71" i="2" s="1"/>
  <c r="P63" i="2" l="1"/>
  <c r="P67" i="2"/>
  <c r="P61" i="2"/>
  <c r="N79" i="2"/>
  <c r="K79" i="2"/>
  <c r="P70" i="2"/>
  <c r="P59" i="2"/>
  <c r="I79" i="2"/>
  <c r="P66" i="2"/>
  <c r="P65" i="2"/>
  <c r="M79" i="2"/>
  <c r="P69" i="2"/>
  <c r="H24" i="2"/>
  <c r="J79" i="2"/>
  <c r="O79" i="2"/>
  <c r="L79" i="2"/>
  <c r="P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Tellez Cobo</author>
  </authors>
  <commentList>
    <comment ref="C13" authorId="0" shapeId="0" xr:uid="{A55307F9-7FB8-4CA4-9364-3C5B6326DE7B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Fuente de los Generos
Nombre: VALLEDEABURRA.pdf
Link: https://colaboracion.dnp.gov.co/CDT/Desarrollo%20Territorial/Portal%20Territorial/NuevosMandatarios/VALLEDEABURRA.pdf
Año: 2023</t>
        </r>
      </text>
    </comment>
    <comment ref="F13" authorId="0" shapeId="0" xr:uid="{29A58320-6892-4392-85E9-2EA22646403F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Fuente de Estratos
Nombre: Indicadores de Vivienda 
Link: https://www.metropol.gov.co/planeacion/Paginas/ordenamiento-territorial/habitat-y-vivienda.aspx
Año: 2011
Itagui: https://itagui.gov.co/uploads/micrositios/files/6e81f-informe-estadistico-2021-final-1-.pdf</t>
        </r>
      </text>
    </comment>
    <comment ref="L13" authorId="0" shapeId="0" xr:uid="{8E4C4BA4-AA2D-4F00-BDAB-44852E9F8D19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Fuente para Edades 
Nombre: Cuadro Personas Demografico 
Hoja: 3PM
Link:https://www.dane.gov.co/index.php/estadisticas-por-tema/demografia-y-poblacion/censo-nacional-de-poblacion-y-vivenda-2018
Año: 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Tellez Cobo</author>
  </authors>
  <commentList>
    <comment ref="D25" authorId="0" shapeId="0" xr:uid="{035D23C6-8E74-4217-B989-275EC67DAFF9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Genero y estratos: Ficha Informativa de Comunas 
Link: https://www.medellin.gov.co/es/centro-documental/cifras-y-estadisticas-por-comuna-y-corregimiento/
Año: 2019</t>
        </r>
      </text>
    </comment>
    <comment ref="I25" authorId="0" shapeId="0" xr:uid="{13D2EBFC-2537-4DC0-88B1-163BFABC159F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Fuente Edades
Nombre: Perfil Demografico Comunas
Link:https://www.medellin.gov.co/irj/portal/medellin?NavigationTarget=contenido/11871-Perfiles-Demograficos-por-Comuna-y-Barrios-2016-2020
Año: 2020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 Tellez Cobo</author>
  </authors>
  <commentList>
    <comment ref="E27" authorId="0" shapeId="0" xr:uid="{5D9694FC-54ED-48A2-9FF6-E8887D08BB4E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Tipos Transporte: Ficha Informativa de Comunas 
Link: https://www.medellin.gov.co/es/centro-documental/cifras-y-estadisticas-por-comuna-y-corregimiento/
Año: 2019</t>
        </r>
      </text>
    </comment>
    <comment ref="C42" authorId="0" shapeId="0" xr:uid="{F1F408AA-A960-4BD5-8BD1-0BD6FC5817FE}">
      <text>
        <r>
          <rPr>
            <b/>
            <sz val="9"/>
            <color indexed="81"/>
            <rFont val="Tahoma"/>
            <family val="2"/>
          </rPr>
          <t>Daniela Tellez Cobo:</t>
        </r>
        <r>
          <rPr>
            <sz val="9"/>
            <color indexed="81"/>
            <rFont val="Tahoma"/>
            <family val="2"/>
          </rPr>
          <t xml:space="preserve">
Tipos Transporte: ECV 2023- Fuerza de Trabajo
Link: https://microdatos.dane.gov.co/index.php/catalog/827/get-microdata
Año: 2023
</t>
        </r>
      </text>
    </comment>
  </commentList>
</comments>
</file>

<file path=xl/sharedStrings.xml><?xml version="1.0" encoding="utf-8"?>
<sst xmlns="http://schemas.openxmlformats.org/spreadsheetml/2006/main" count="426" uniqueCount="117">
  <si>
    <t>Municipio</t>
  </si>
  <si>
    <t>%M</t>
  </si>
  <si>
    <t>%H</t>
  </si>
  <si>
    <t>%Bajo</t>
  </si>
  <si>
    <t>%Medio</t>
  </si>
  <si>
    <t>%Alto</t>
  </si>
  <si>
    <t>Estratos</t>
  </si>
  <si>
    <t>15-19</t>
  </si>
  <si>
    <t>Genero</t>
  </si>
  <si>
    <t xml:space="preserve">Sabaneta </t>
  </si>
  <si>
    <t>Envigado</t>
  </si>
  <si>
    <t>La estrella</t>
  </si>
  <si>
    <t xml:space="preserve">Copacabana </t>
  </si>
  <si>
    <t>Girardota</t>
  </si>
  <si>
    <t>Caldas</t>
  </si>
  <si>
    <t>Bello</t>
  </si>
  <si>
    <t>Barbosa</t>
  </si>
  <si>
    <t>Itagui</t>
  </si>
  <si>
    <t>Medellin</t>
  </si>
  <si>
    <t>Comunas</t>
  </si>
  <si>
    <t xml:space="preserve">Comuna 1 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</si>
  <si>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</si>
  <si>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</si>
  <si>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</si>
  <si>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</si>
  <si>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</si>
  <si>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</si>
  <si>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</si>
  <si>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</si>
  <si>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</si>
  <si>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</si>
  <si>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</si>
  <si>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</si>
  <si>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</si>
  <si>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</si>
  <si>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</si>
  <si>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50</t>
  </si>
  <si>
    <t>Comuna 60</t>
  </si>
  <si>
    <t>Comuna 70</t>
  </si>
  <si>
    <t>Comuna 80</t>
  </si>
  <si>
    <t>Comuna 90</t>
  </si>
  <si>
    <t xml:space="preserve">Nombre </t>
  </si>
  <si>
    <t>Popular</t>
  </si>
  <si>
    <t>Santa Cruz</t>
  </si>
  <si>
    <t>Manrique</t>
  </si>
  <si>
    <t>Aranjuez</t>
  </si>
  <si>
    <t>Castilla</t>
  </si>
  <si>
    <t>Doce de Octubre</t>
  </si>
  <si>
    <t>Robledo</t>
  </si>
  <si>
    <t>Villa Hermosa</t>
  </si>
  <si>
    <t>Buenos Aires</t>
  </si>
  <si>
    <t>La Candelaria</t>
  </si>
  <si>
    <t>Laureles-Estadio</t>
  </si>
  <si>
    <t>La America</t>
  </si>
  <si>
    <t>San Javier</t>
  </si>
  <si>
    <t>El Poblado</t>
  </si>
  <si>
    <t>Guayabal</t>
  </si>
  <si>
    <t>Belen</t>
  </si>
  <si>
    <t>San Sebastian</t>
  </si>
  <si>
    <t>San Cristobal</t>
  </si>
  <si>
    <t>Altavista</t>
  </si>
  <si>
    <t>San Antonio</t>
  </si>
  <si>
    <t>Santa Elena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</si>
  <si>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</si>
  <si>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</si>
  <si>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</si>
  <si>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</si>
  <si>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</si>
  <si>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</si>
  <si>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</si>
  <si>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</si>
  <si>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</si>
  <si>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</si>
  <si>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</si>
  <si>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</si>
  <si>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</si>
  <si>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 xml:space="preserve">Total </t>
  </si>
  <si>
    <t>Edades</t>
  </si>
  <si>
    <t>Total Edades</t>
  </si>
  <si>
    <t>M</t>
  </si>
  <si>
    <t>H</t>
  </si>
  <si>
    <t>Bajo</t>
  </si>
  <si>
    <t>Medio</t>
  </si>
  <si>
    <t>Alto</t>
  </si>
  <si>
    <t>Municipios</t>
  </si>
  <si>
    <t xml:space="preserve">Numero de viviendas </t>
  </si>
  <si>
    <t>Numero de personas</t>
  </si>
  <si>
    <t xml:space="preserve">Tipos de Transporte </t>
  </si>
  <si>
    <t xml:space="preserve">Transporte Publico </t>
  </si>
  <si>
    <t>Trasporte Acumulado</t>
  </si>
  <si>
    <t>Bus/Ejecutivo</t>
  </si>
  <si>
    <t>Metro-Cable</t>
  </si>
  <si>
    <t>Moto</t>
  </si>
  <si>
    <t>Caminando</t>
  </si>
  <si>
    <t>SIT *</t>
  </si>
  <si>
    <t xml:space="preserve">* Sistema Integrado de Transporte </t>
  </si>
  <si>
    <t>Taxi</t>
  </si>
  <si>
    <t>Particular</t>
  </si>
  <si>
    <t>Bicicleta</t>
  </si>
  <si>
    <t>Informal</t>
  </si>
  <si>
    <t>Sabaneta</t>
  </si>
  <si>
    <t>Copacabana</t>
  </si>
  <si>
    <t>Cali</t>
  </si>
  <si>
    <t>15-24</t>
  </si>
  <si>
    <t>25-34</t>
  </si>
  <si>
    <t>35-44</t>
  </si>
  <si>
    <t>45-54</t>
  </si>
  <si>
    <t>55-64</t>
  </si>
  <si>
    <t>65-74</t>
  </si>
  <si>
    <t>74+</t>
  </si>
  <si>
    <t>Suma</t>
  </si>
  <si>
    <t xml:space="preserve">Porcentaje </t>
  </si>
  <si>
    <t xml:space="preserve">Alto </t>
  </si>
  <si>
    <t>Numero de Personas</t>
  </si>
  <si>
    <t>-</t>
  </si>
  <si>
    <t>Mujeres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</si>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</sst>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0.000"/>
    <numFmt numFmtId="166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1" fillId="3" borderId="1" xfId="3" applyBorder="1" applyAlignment="1">
      <alignment horizontal="center" vertical="center"/>
    </xf>
    <xf numFmtId="10" fontId="1" fillId="3" borderId="1" xfId="3" applyNumberFormat="1" applyBorder="1" applyAlignment="1">
      <alignment horizontal="center" vertical="center"/>
    </xf>
    <xf numFmtId="0" fontId="1" fillId="3" borderId="6" xfId="3" applyBorder="1" applyAlignment="1">
      <alignment horizontal="center" vertical="center"/>
    </xf>
    <xf numFmtId="165" fontId="1" fillId="3" borderId="6" xfId="3" applyNumberFormat="1" applyBorder="1" applyAlignment="1">
      <alignment horizontal="center" vertical="center"/>
    </xf>
    <xf numFmtId="0" fontId="1" fillId="3" borderId="1" xfId="3" applyBorder="1"/>
    <xf numFmtId="164" fontId="1" fillId="3" borderId="1" xfId="3" applyNumberFormat="1" applyBorder="1"/>
    <xf numFmtId="10" fontId="1" fillId="3" borderId="1" xfId="3" applyNumberFormat="1" applyBorder="1"/>
    <xf numFmtId="10" fontId="1" fillId="3" borderId="4" xfId="3" applyNumberFormat="1" applyBorder="1"/>
    <xf numFmtId="0" fontId="2" fillId="2" borderId="11" xfId="2" applyFont="1" applyBorder="1"/>
    <xf numFmtId="0" fontId="3" fillId="5" borderId="8" xfId="5" applyFont="1" applyBorder="1" applyAlignment="1">
      <alignment horizontal="center" vertical="center"/>
    </xf>
    <xf numFmtId="0" fontId="3" fillId="5" borderId="3" xfId="5" applyFont="1" applyBorder="1" applyAlignment="1">
      <alignment horizontal="center" vertical="center"/>
    </xf>
    <xf numFmtId="0" fontId="3" fillId="5" borderId="5" xfId="5" applyFont="1" applyBorder="1" applyAlignment="1">
      <alignment horizontal="center" vertical="center"/>
    </xf>
    <xf numFmtId="0" fontId="3" fillId="4" borderId="9" xfId="4" applyFont="1" applyBorder="1" applyAlignment="1">
      <alignment horizontal="center" vertical="center"/>
    </xf>
    <xf numFmtId="0" fontId="3" fillId="4" borderId="10" xfId="4" applyFont="1" applyBorder="1" applyAlignment="1">
      <alignment horizontal="center" vertical="center"/>
    </xf>
    <xf numFmtId="0" fontId="3" fillId="3" borderId="22" xfId="3" applyFont="1" applyBorder="1"/>
    <xf numFmtId="0" fontId="3" fillId="3" borderId="19" xfId="3" applyFont="1" applyBorder="1"/>
    <xf numFmtId="0" fontId="3" fillId="5" borderId="9" xfId="5" applyFont="1" applyBorder="1"/>
    <xf numFmtId="0" fontId="5" fillId="2" borderId="2" xfId="2" applyFont="1" applyBorder="1"/>
    <xf numFmtId="0" fontId="5" fillId="2" borderId="17" xfId="2" applyFont="1" applyBorder="1"/>
    <xf numFmtId="0" fontId="1" fillId="3" borderId="1" xfId="3" applyNumberFormat="1" applyBorder="1" applyAlignment="1">
      <alignment horizontal="center" vertical="center"/>
    </xf>
    <xf numFmtId="10" fontId="1" fillId="3" borderId="24" xfId="3" applyNumberFormat="1" applyBorder="1"/>
    <xf numFmtId="2" fontId="1" fillId="3" borderId="1" xfId="3" applyNumberFormat="1" applyBorder="1"/>
    <xf numFmtId="0" fontId="3" fillId="5" borderId="9" xfId="5" applyFont="1" applyBorder="1" applyAlignment="1">
      <alignment horizontal="center"/>
    </xf>
    <xf numFmtId="10" fontId="0" fillId="3" borderId="1" xfId="6" applyNumberFormat="1" applyFont="1" applyFill="1" applyBorder="1"/>
    <xf numFmtId="10" fontId="1" fillId="3" borderId="1" xfId="6" applyNumberFormat="1" applyFill="1" applyBorder="1"/>
    <xf numFmtId="10" fontId="1" fillId="3" borderId="6" xfId="6" applyNumberFormat="1" applyFill="1" applyBorder="1"/>
    <xf numFmtId="0" fontId="3" fillId="3" borderId="1" xfId="3" applyFont="1" applyBorder="1"/>
    <xf numFmtId="0" fontId="3" fillId="3" borderId="3" xfId="3" applyFont="1" applyBorder="1"/>
    <xf numFmtId="10" fontId="1" fillId="3" borderId="4" xfId="1" applyNumberFormat="1" applyFill="1" applyBorder="1"/>
    <xf numFmtId="0" fontId="3" fillId="3" borderId="5" xfId="3" applyFont="1" applyBorder="1"/>
    <xf numFmtId="0" fontId="3" fillId="3" borderId="6" xfId="3" applyFont="1" applyBorder="1"/>
    <xf numFmtId="10" fontId="1" fillId="3" borderId="7" xfId="1" applyNumberFormat="1" applyFill="1" applyBorder="1"/>
    <xf numFmtId="0" fontId="3" fillId="5" borderId="8" xfId="5" applyFont="1" applyBorder="1"/>
    <xf numFmtId="0" fontId="3" fillId="5" borderId="10" xfId="5" applyFont="1" applyBorder="1" applyAlignment="1">
      <alignment horizontal="center"/>
    </xf>
    <xf numFmtId="0" fontId="5" fillId="2" borderId="11" xfId="2" applyFont="1" applyBorder="1"/>
    <xf numFmtId="0" fontId="5" fillId="2" borderId="12" xfId="2" applyFont="1" applyBorder="1"/>
    <xf numFmtId="0" fontId="5" fillId="2" borderId="13" xfId="2" applyFont="1" applyBorder="1" applyAlignment="1"/>
    <xf numFmtId="0" fontId="5" fillId="2" borderId="29" xfId="2" applyFont="1" applyBorder="1" applyAlignment="1"/>
    <xf numFmtId="0" fontId="0" fillId="0" borderId="0" xfId="0" applyAlignment="1">
      <alignment horizontal="center"/>
    </xf>
    <xf numFmtId="0" fontId="1" fillId="3" borderId="9" xfId="3" applyBorder="1" applyAlignment="1">
      <alignment horizontal="center" vertical="center"/>
    </xf>
    <xf numFmtId="3" fontId="1" fillId="3" borderId="1" xfId="3" applyNumberFormat="1" applyBorder="1"/>
    <xf numFmtId="3" fontId="1" fillId="3" borderId="4" xfId="3" applyNumberFormat="1" applyBorder="1"/>
    <xf numFmtId="0" fontId="2" fillId="2" borderId="1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21" xfId="5" applyBorder="1" applyAlignment="1">
      <alignment horizontal="center" vertical="center"/>
    </xf>
    <xf numFmtId="3" fontId="1" fillId="3" borderId="18" xfId="3" applyNumberFormat="1" applyBorder="1" applyAlignment="1">
      <alignment horizontal="center" vertical="center"/>
    </xf>
    <xf numFmtId="3" fontId="1" fillId="3" borderId="9" xfId="3" applyNumberFormat="1" applyBorder="1" applyAlignment="1">
      <alignment horizontal="center" vertical="center"/>
    </xf>
    <xf numFmtId="41" fontId="1" fillId="3" borderId="9" xfId="3" applyNumberFormat="1" applyBorder="1" applyAlignment="1">
      <alignment horizontal="center" vertical="center" wrapText="1"/>
    </xf>
    <xf numFmtId="41" fontId="1" fillId="3" borderId="9" xfId="3" applyNumberFormat="1" applyBorder="1" applyAlignment="1">
      <alignment horizontal="center" vertical="center"/>
    </xf>
    <xf numFmtId="3" fontId="1" fillId="3" borderId="10" xfId="3" applyNumberFormat="1" applyBorder="1" applyAlignment="1">
      <alignment horizontal="center" vertical="center"/>
    </xf>
    <xf numFmtId="0" fontId="1" fillId="5" borderId="22" xfId="5" applyBorder="1" applyAlignment="1">
      <alignment horizontal="center" vertical="center"/>
    </xf>
    <xf numFmtId="3" fontId="1" fillId="3" borderId="19" xfId="3" applyNumberFormat="1" applyBorder="1" applyAlignment="1">
      <alignment horizontal="center" vertical="center"/>
    </xf>
    <xf numFmtId="3" fontId="1" fillId="3" borderId="1" xfId="3" applyNumberFormat="1" applyBorder="1" applyAlignment="1">
      <alignment horizontal="center" vertical="center"/>
    </xf>
    <xf numFmtId="41" fontId="1" fillId="3" borderId="1" xfId="3" applyNumberFormat="1" applyBorder="1" applyAlignment="1">
      <alignment horizontal="center" vertical="center" wrapText="1"/>
    </xf>
    <xf numFmtId="41" fontId="1" fillId="3" borderId="1" xfId="3" applyNumberFormat="1" applyBorder="1" applyAlignment="1">
      <alignment horizontal="center" vertical="center"/>
    </xf>
    <xf numFmtId="3" fontId="1" fillId="3" borderId="4" xfId="3" applyNumberFormat="1" applyBorder="1" applyAlignment="1">
      <alignment horizontal="center" vertical="center"/>
    </xf>
    <xf numFmtId="41" fontId="1" fillId="3" borderId="1" xfId="3" applyNumberFormat="1" applyBorder="1" applyAlignment="1" applyProtection="1">
      <alignment horizontal="center" vertical="center"/>
    </xf>
    <xf numFmtId="0" fontId="1" fillId="5" borderId="23" xfId="5" applyBorder="1" applyAlignment="1">
      <alignment horizontal="center" vertical="center"/>
    </xf>
    <xf numFmtId="3" fontId="1" fillId="3" borderId="20" xfId="3" applyNumberFormat="1" applyBorder="1" applyAlignment="1">
      <alignment horizontal="center" vertical="center"/>
    </xf>
    <xf numFmtId="3" fontId="1" fillId="3" borderId="6" xfId="3" applyNumberFormat="1" applyBorder="1" applyAlignment="1">
      <alignment horizontal="center" vertical="center"/>
    </xf>
    <xf numFmtId="41" fontId="1" fillId="3" borderId="6" xfId="3" applyNumberFormat="1" applyBorder="1" applyAlignment="1" applyProtection="1">
      <alignment horizontal="center" vertical="center"/>
    </xf>
    <xf numFmtId="41" fontId="1" fillId="3" borderId="6" xfId="3" applyNumberFormat="1" applyBorder="1" applyAlignment="1">
      <alignment horizontal="center" vertical="center"/>
    </xf>
    <xf numFmtId="3" fontId="1" fillId="3" borderId="7" xfId="3" applyNumberFormat="1" applyBorder="1" applyAlignment="1">
      <alignment horizontal="center" vertical="center"/>
    </xf>
    <xf numFmtId="0" fontId="3" fillId="5" borderId="2" xfId="5" applyFont="1" applyBorder="1" applyAlignment="1">
      <alignment horizontal="center" vertical="center"/>
    </xf>
    <xf numFmtId="0" fontId="3" fillId="4" borderId="17" xfId="4" applyFont="1" applyBorder="1" applyAlignment="1">
      <alignment horizontal="center" vertical="center"/>
    </xf>
    <xf numFmtId="0" fontId="3" fillId="4" borderId="12" xfId="4" applyFont="1" applyBorder="1" applyAlignment="1">
      <alignment horizontal="center" vertical="center"/>
    </xf>
    <xf numFmtId="0" fontId="3" fillId="4" borderId="13" xfId="4" applyFont="1" applyBorder="1" applyAlignment="1">
      <alignment horizontal="center" vertical="center"/>
    </xf>
    <xf numFmtId="0" fontId="3" fillId="0" borderId="0" xfId="0" applyFont="1"/>
    <xf numFmtId="0" fontId="1" fillId="4" borderId="3" xfId="4" applyBorder="1"/>
    <xf numFmtId="166" fontId="1" fillId="3" borderId="1" xfId="3" applyNumberFormat="1" applyBorder="1"/>
    <xf numFmtId="0" fontId="3" fillId="5" borderId="21" xfId="5" applyFont="1" applyBorder="1" applyAlignment="1">
      <alignment horizontal="center"/>
    </xf>
    <xf numFmtId="0" fontId="3" fillId="5" borderId="18" xfId="5" applyFont="1" applyBorder="1" applyAlignment="1">
      <alignment horizontal="center"/>
    </xf>
    <xf numFmtId="0" fontId="1" fillId="5" borderId="25" xfId="5" applyBorder="1" applyAlignment="1">
      <alignment horizontal="center"/>
    </xf>
    <xf numFmtId="0" fontId="1" fillId="5" borderId="26" xfId="5" applyBorder="1" applyAlignment="1">
      <alignment horizontal="center"/>
    </xf>
    <xf numFmtId="0" fontId="1" fillId="5" borderId="27" xfId="5" applyBorder="1" applyAlignment="1">
      <alignment horizontal="center"/>
    </xf>
    <xf numFmtId="10" fontId="1" fillId="3" borderId="9" xfId="3" applyNumberFormat="1" applyBorder="1" applyAlignment="1">
      <alignment horizontal="center" vertical="center" wrapText="1"/>
    </xf>
    <xf numFmtId="10" fontId="1" fillId="3" borderId="1" xfId="6" applyNumberFormat="1" applyFill="1" applyBorder="1" applyAlignment="1">
      <alignment horizontal="center" vertical="center"/>
    </xf>
    <xf numFmtId="10" fontId="0" fillId="0" borderId="0" xfId="6" applyNumberFormat="1" applyFont="1"/>
    <xf numFmtId="10" fontId="0" fillId="0" borderId="0" xfId="0" applyNumberFormat="1"/>
    <xf numFmtId="41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" fillId="4" borderId="11" xfId="4" applyBorder="1"/>
    <xf numFmtId="0" fontId="1" fillId="3" borderId="12" xfId="3" applyBorder="1"/>
    <xf numFmtId="0" fontId="1" fillId="4" borderId="30" xfId="4" applyBorder="1"/>
    <xf numFmtId="0" fontId="1" fillId="3" borderId="31" xfId="3" applyBorder="1"/>
    <xf numFmtId="3" fontId="1" fillId="3" borderId="31" xfId="3" applyNumberFormat="1" applyBorder="1"/>
    <xf numFmtId="166" fontId="1" fillId="3" borderId="31" xfId="3" applyNumberFormat="1" applyBorder="1"/>
    <xf numFmtId="3" fontId="1" fillId="3" borderId="32" xfId="3" applyNumberFormat="1" applyBorder="1"/>
    <xf numFmtId="3" fontId="1" fillId="3" borderId="12" xfId="3" applyNumberFormat="1" applyBorder="1"/>
    <xf numFmtId="166" fontId="1" fillId="3" borderId="12" xfId="3" applyNumberFormat="1" applyBorder="1"/>
    <xf numFmtId="3" fontId="1" fillId="3" borderId="13" xfId="3" applyNumberFormat="1" applyBorder="1"/>
    <xf numFmtId="10" fontId="1" fillId="3" borderId="33" xfId="3" applyNumberFormat="1" applyBorder="1"/>
    <xf numFmtId="10" fontId="1" fillId="3" borderId="12" xfId="3" applyNumberFormat="1" applyBorder="1"/>
    <xf numFmtId="10" fontId="1" fillId="3" borderId="13" xfId="3" applyNumberFormat="1" applyBorder="1"/>
    <xf numFmtId="0" fontId="3" fillId="3" borderId="34" xfId="3" applyFont="1" applyBorder="1"/>
    <xf numFmtId="0" fontId="3" fillId="3" borderId="35" xfId="3" applyFont="1" applyBorder="1"/>
    <xf numFmtId="2" fontId="1" fillId="3" borderId="31" xfId="3" applyNumberFormat="1" applyBorder="1"/>
    <xf numFmtId="10" fontId="1" fillId="3" borderId="31" xfId="3" applyNumberFormat="1" applyBorder="1"/>
    <xf numFmtId="10" fontId="1" fillId="3" borderId="32" xfId="3" applyNumberFormat="1" applyBorder="1"/>
    <xf numFmtId="0" fontId="3" fillId="3" borderId="11" xfId="3" applyFont="1" applyBorder="1"/>
    <xf numFmtId="0" fontId="3" fillId="3" borderId="12" xfId="3" applyFont="1" applyBorder="1"/>
    <xf numFmtId="10" fontId="1" fillId="3" borderId="12" xfId="6" applyNumberFormat="1" applyFill="1" applyBorder="1"/>
    <xf numFmtId="0" fontId="1" fillId="5" borderId="8" xfId="5" applyBorder="1"/>
    <xf numFmtId="0" fontId="1" fillId="5" borderId="9" xfId="5" applyBorder="1"/>
    <xf numFmtId="0" fontId="1" fillId="5" borderId="10" xfId="5" applyBorder="1"/>
    <xf numFmtId="9" fontId="0" fillId="0" borderId="0" xfId="6" applyFont="1"/>
    <xf numFmtId="0" fontId="2" fillId="2" borderId="12" xfId="2" applyFont="1" applyBorder="1" applyAlignment="1">
      <alignment horizontal="center" vertical="center"/>
    </xf>
    <xf numFmtId="0" fontId="2" fillId="2" borderId="14" xfId="2" applyFont="1" applyBorder="1" applyAlignment="1">
      <alignment horizontal="center" vertical="center"/>
    </xf>
    <xf numFmtId="0" fontId="2" fillId="2" borderId="15" xfId="2" applyFont="1" applyBorder="1" applyAlignment="1">
      <alignment horizontal="center" vertical="center"/>
    </xf>
    <xf numFmtId="0" fontId="2" fillId="2" borderId="17" xfId="2" applyFont="1" applyBorder="1" applyAlignment="1">
      <alignment horizontal="center" vertical="center"/>
    </xf>
    <xf numFmtId="0" fontId="2" fillId="2" borderId="12" xfId="2" applyFont="1" applyBorder="1" applyAlignment="1">
      <alignment horizontal="center"/>
    </xf>
    <xf numFmtId="0" fontId="2" fillId="2" borderId="13" xfId="2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3" xfId="2" applyFont="1" applyBorder="1" applyAlignment="1">
      <alignment horizontal="center" vertical="center"/>
    </xf>
    <xf numFmtId="0" fontId="8" fillId="2" borderId="14" xfId="2" applyFont="1" applyBorder="1" applyAlignment="1">
      <alignment horizontal="center"/>
    </xf>
    <xf numFmtId="0" fontId="8" fillId="2" borderId="15" xfId="2" applyFont="1" applyBorder="1" applyAlignment="1">
      <alignment horizontal="center"/>
    </xf>
    <xf numFmtId="0" fontId="8" fillId="2" borderId="16" xfId="2" applyFont="1" applyBorder="1" applyAlignment="1">
      <alignment horizontal="center"/>
    </xf>
    <xf numFmtId="0" fontId="8" fillId="2" borderId="29" xfId="2" applyFont="1" applyBorder="1" applyAlignment="1">
      <alignment horizontal="center"/>
    </xf>
    <xf numFmtId="0" fontId="8" fillId="2" borderId="17" xfId="2" applyFont="1" applyBorder="1" applyAlignment="1">
      <alignment horizontal="center"/>
    </xf>
    <xf numFmtId="0" fontId="5" fillId="2" borderId="14" xfId="2" applyFont="1" applyBorder="1" applyAlignment="1">
      <alignment horizontal="center"/>
    </xf>
    <xf numFmtId="0" fontId="5" fillId="2" borderId="17" xfId="2" applyFont="1" applyBorder="1" applyAlignment="1">
      <alignment horizontal="center"/>
    </xf>
    <xf numFmtId="0" fontId="5" fillId="2" borderId="15" xfId="2" applyFont="1" applyBorder="1" applyAlignment="1">
      <alignment horizontal="center"/>
    </xf>
    <xf numFmtId="0" fontId="5" fillId="2" borderId="16" xfId="2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2" borderId="12" xfId="2" applyFont="1" applyBorder="1" applyAlignment="1">
      <alignment horizontal="center"/>
    </xf>
    <xf numFmtId="0" fontId="3" fillId="3" borderId="0" xfId="3" applyFont="1" applyBorder="1" applyAlignment="1">
      <alignment horizontal="center"/>
    </xf>
  </cellXfs>
  <cellStyles count="7">
    <cellStyle name="20% - Énfasis1" xfId="3" builtinId="30"/>
    <cellStyle name="40% - Énfasis1" xfId="4" builtinId="31"/>
    <cellStyle name="60% - Énfasis1" xfId="5" builtinId="32"/>
    <cellStyle name="Énfasis1" xfId="2" builtinId="29"/>
    <cellStyle name="Millares [0]" xfId="1" builtinId="6"/>
    <cellStyle name="Normal" xfId="0" builtinId="0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5E0A-15EB-4CA1-A7E4-B3AC086B57C7}">
  <dimension ref="A1:D17"/>
  <sheetViews>
    <sheetView tabSelected="1" workbookViewId="0">
      <selection activeCell="J12" sqref="J12"/>
    </sheetView>
  </sheetViews>
  <sheetFormatPr baseColWidth="10" defaultRowHeight="14.4" x14ac:dyDescent="0.3"/>
  <sheetData>
    <row r="1" spans="1:4" x14ac:dyDescent="0.3">
      <c r="A1" t="s">
        <v>19</v>
      </c>
      <c r="B1" t="s">
        <v>115</v>
      </c>
      <c r="C1" t="s">
        <v>116</v>
      </c>
      <c r="D1" t="s">
        <v>76</v>
      </c>
    </row>
    <row r="2" spans="1:4" x14ac:dyDescent="0.3">
      <c r="A2" t="s">
        <v>20</v>
      </c>
      <c r="B2" s="81">
        <v>69853</v>
      </c>
      <c r="C2" s="81">
        <v>62629</v>
      </c>
      <c r="D2" s="81">
        <v>132482</v>
      </c>
    </row>
    <row r="3" spans="1:4" x14ac:dyDescent="0.3">
      <c r="A3" t="s">
        <v>21</v>
      </c>
      <c r="B3" s="81">
        <v>60057</v>
      </c>
      <c r="C3" s="81">
        <v>53463</v>
      </c>
      <c r="D3" s="81">
        <v>113520</v>
      </c>
    </row>
    <row r="4" spans="1:4" x14ac:dyDescent="0.3">
      <c r="A4" t="s">
        <v>22</v>
      </c>
      <c r="B4" s="81">
        <v>84447</v>
      </c>
      <c r="C4" s="81">
        <v>77927</v>
      </c>
      <c r="D4" s="81">
        <v>162374</v>
      </c>
    </row>
    <row r="5" spans="1:4" x14ac:dyDescent="0.3">
      <c r="A5" t="s">
        <v>23</v>
      </c>
      <c r="B5" s="81">
        <v>85485</v>
      </c>
      <c r="C5" s="81">
        <v>78004</v>
      </c>
      <c r="D5" s="81">
        <v>163489</v>
      </c>
    </row>
    <row r="6" spans="1:4" x14ac:dyDescent="0.3">
      <c r="A6" t="s">
        <v>24</v>
      </c>
      <c r="B6" s="81">
        <v>80058</v>
      </c>
      <c r="C6" s="81">
        <v>71727</v>
      </c>
      <c r="D6" s="81">
        <v>151785</v>
      </c>
    </row>
    <row r="7" spans="1:4" x14ac:dyDescent="0.3">
      <c r="A7" t="s">
        <v>25</v>
      </c>
      <c r="B7" s="81">
        <v>103078</v>
      </c>
      <c r="C7" s="81">
        <v>92722</v>
      </c>
      <c r="D7" s="81">
        <v>195800</v>
      </c>
    </row>
    <row r="8" spans="1:4" x14ac:dyDescent="0.3">
      <c r="A8" t="s">
        <v>26</v>
      </c>
      <c r="B8" s="81">
        <v>90070</v>
      </c>
      <c r="C8" s="81">
        <v>83740</v>
      </c>
      <c r="D8" s="81">
        <v>173810</v>
      </c>
    </row>
    <row r="9" spans="1:4" x14ac:dyDescent="0.3">
      <c r="A9" t="s">
        <v>27</v>
      </c>
      <c r="B9" s="81">
        <v>72381</v>
      </c>
      <c r="C9" s="81">
        <v>67112</v>
      </c>
      <c r="D9" s="81">
        <v>139493</v>
      </c>
    </row>
    <row r="10" spans="1:4" x14ac:dyDescent="0.3">
      <c r="A10" t="s">
        <v>28</v>
      </c>
      <c r="B10" s="81">
        <v>72736</v>
      </c>
      <c r="C10" s="81">
        <v>64758</v>
      </c>
      <c r="D10" s="81">
        <v>137494</v>
      </c>
    </row>
    <row r="11" spans="1:4" x14ac:dyDescent="0.3">
      <c r="A11" t="s">
        <v>29</v>
      </c>
      <c r="B11" s="81">
        <v>44035</v>
      </c>
      <c r="C11" s="81">
        <v>41748</v>
      </c>
      <c r="D11" s="81">
        <v>85783</v>
      </c>
    </row>
    <row r="12" spans="1:4" x14ac:dyDescent="0.3">
      <c r="A12" t="s">
        <v>30</v>
      </c>
      <c r="B12" s="81">
        <v>69546</v>
      </c>
      <c r="C12" s="81">
        <v>53639</v>
      </c>
      <c r="D12" s="81">
        <v>123185</v>
      </c>
    </row>
    <row r="13" spans="1:4" x14ac:dyDescent="0.3">
      <c r="A13" t="s">
        <v>31</v>
      </c>
      <c r="B13" s="81">
        <v>54273</v>
      </c>
      <c r="C13" s="81">
        <v>43184</v>
      </c>
      <c r="D13" s="81">
        <v>97457</v>
      </c>
    </row>
    <row r="14" spans="1:4" x14ac:dyDescent="0.3">
      <c r="A14" t="s">
        <v>32</v>
      </c>
      <c r="B14" s="81">
        <v>73054</v>
      </c>
      <c r="C14" s="81">
        <v>67704</v>
      </c>
      <c r="D14" s="81">
        <v>140758</v>
      </c>
    </row>
    <row r="15" spans="1:4" x14ac:dyDescent="0.3">
      <c r="A15" t="s">
        <v>33</v>
      </c>
      <c r="B15" s="81">
        <v>73402</v>
      </c>
      <c r="C15" s="81">
        <v>60412</v>
      </c>
      <c r="D15" s="81">
        <v>133814</v>
      </c>
    </row>
    <row r="16" spans="1:4" x14ac:dyDescent="0.3">
      <c r="A16" t="s">
        <v>34</v>
      </c>
      <c r="B16" s="81">
        <v>50901</v>
      </c>
      <c r="C16" s="81">
        <v>45241</v>
      </c>
      <c r="D16" s="81">
        <v>96142</v>
      </c>
    </row>
    <row r="17" spans="1:4" x14ac:dyDescent="0.3">
      <c r="A17" t="s">
        <v>35</v>
      </c>
      <c r="B17" s="81">
        <v>107252</v>
      </c>
      <c r="C17" s="81">
        <v>90341</v>
      </c>
      <c r="D17" s="81">
        <v>197593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44D1-EC96-4CB9-86A6-4EB9C09EBBA2}">
  <dimension ref="B1:W51"/>
  <sheetViews>
    <sheetView topLeftCell="A25" zoomScale="85" zoomScaleNormal="85" workbookViewId="0">
      <selection activeCell="A51" sqref="A51"/>
    </sheetView>
  </sheetViews>
  <sheetFormatPr baseColWidth="10" defaultRowHeight="14.4" x14ac:dyDescent="0.3"/>
  <cols>
    <col min="2" max="2" width="14.33203125" customWidth="1"/>
    <col min="10" max="10" width="12.44140625" customWidth="1"/>
    <col min="15" max="15" width="18.33203125" customWidth="1"/>
    <col min="22" max="22" width="14.88671875" customWidth="1"/>
  </cols>
  <sheetData>
    <row r="1" spans="2:23" ht="15" thickBot="1" x14ac:dyDescent="0.35"/>
    <row r="2" spans="2:23" ht="15" thickBot="1" x14ac:dyDescent="0.35">
      <c r="B2" s="9"/>
      <c r="C2" s="112" t="s">
        <v>8</v>
      </c>
      <c r="D2" s="112"/>
      <c r="E2" s="112" t="s">
        <v>6</v>
      </c>
      <c r="F2" s="112"/>
      <c r="G2" s="112"/>
      <c r="H2" s="112" t="s">
        <v>77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3"/>
    </row>
    <row r="3" spans="2:23" x14ac:dyDescent="0.3">
      <c r="B3" s="10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7</v>
      </c>
      <c r="I3" s="13" t="s">
        <v>63</v>
      </c>
      <c r="J3" s="13" t="s">
        <v>64</v>
      </c>
      <c r="K3" s="13" t="s">
        <v>65</v>
      </c>
      <c r="L3" s="13" t="s">
        <v>66</v>
      </c>
      <c r="M3" s="13" t="s">
        <v>67</v>
      </c>
      <c r="N3" s="13" t="s">
        <v>68</v>
      </c>
      <c r="O3" s="13" t="s">
        <v>69</v>
      </c>
      <c r="P3" s="13" t="s">
        <v>70</v>
      </c>
      <c r="Q3" s="13" t="s">
        <v>71</v>
      </c>
      <c r="R3" s="13" t="s">
        <v>72</v>
      </c>
      <c r="S3" s="13" t="s">
        <v>73</v>
      </c>
      <c r="T3" s="13" t="s">
        <v>74</v>
      </c>
      <c r="U3" s="14" t="s">
        <v>75</v>
      </c>
    </row>
    <row r="4" spans="2:23" x14ac:dyDescent="0.3">
      <c r="B4" s="11" t="s">
        <v>9</v>
      </c>
      <c r="C4" s="1">
        <v>53.44</v>
      </c>
      <c r="D4" s="1">
        <v>46.56</v>
      </c>
      <c r="E4" s="20">
        <v>32.1</v>
      </c>
      <c r="F4" s="1">
        <v>67.2</v>
      </c>
      <c r="G4" s="1">
        <v>0.7</v>
      </c>
      <c r="H4" s="2">
        <f t="shared" ref="H4:U4" si="0">H18/$V18</f>
        <v>6.9024359029051657E-2</v>
      </c>
      <c r="I4" s="2">
        <f t="shared" si="0"/>
        <v>9.5829245054960682E-2</v>
      </c>
      <c r="J4" s="2">
        <f t="shared" si="0"/>
        <v>0.1142584929539411</v>
      </c>
      <c r="K4" s="2">
        <f t="shared" si="0"/>
        <v>0.11964791035649787</v>
      </c>
      <c r="L4" s="2">
        <f t="shared" si="0"/>
        <v>0.10866999416975953</v>
      </c>
      <c r="M4" s="2">
        <f t="shared" si="0"/>
        <v>7.8935767814228633E-2</v>
      </c>
      <c r="N4" s="2">
        <f t="shared" si="0"/>
        <v>7.7286236366480382E-2</v>
      </c>
      <c r="O4" s="2">
        <f t="shared" si="0"/>
        <v>8.4382065611535342E-2</v>
      </c>
      <c r="P4" s="2">
        <f t="shared" si="0"/>
        <v>7.4470656826358381E-2</v>
      </c>
      <c r="Q4" s="2">
        <f t="shared" si="0"/>
        <v>6.0961563073247731E-2</v>
      </c>
      <c r="R4" s="2">
        <f t="shared" si="0"/>
        <v>4.5660736885513989E-2</v>
      </c>
      <c r="S4" s="2">
        <f t="shared" si="0"/>
        <v>2.9919087638468209E-2</v>
      </c>
      <c r="T4" s="2">
        <f t="shared" si="0"/>
        <v>1.9325114116291967E-2</v>
      </c>
      <c r="U4" s="2">
        <f t="shared" si="0"/>
        <v>2.162877010366452E-2</v>
      </c>
    </row>
    <row r="5" spans="2:23" x14ac:dyDescent="0.3">
      <c r="B5" s="11" t="s">
        <v>10</v>
      </c>
      <c r="C5" s="1">
        <v>53.98</v>
      </c>
      <c r="D5" s="1">
        <v>46.02</v>
      </c>
      <c r="E5" s="1">
        <v>20.8</v>
      </c>
      <c r="F5" s="1">
        <v>57.62</v>
      </c>
      <c r="G5" s="1">
        <v>21.58</v>
      </c>
      <c r="H5" s="2">
        <f t="shared" ref="H5:U5" si="1">H19/$V19</f>
        <v>7.0506740093120066E-2</v>
      </c>
      <c r="I5" s="2">
        <f t="shared" si="1"/>
        <v>8.820388849441442E-2</v>
      </c>
      <c r="J5" s="2">
        <f t="shared" si="1"/>
        <v>9.184630311177118E-2</v>
      </c>
      <c r="K5" s="2">
        <f t="shared" si="1"/>
        <v>9.1304277127045474E-2</v>
      </c>
      <c r="L5" s="2">
        <f t="shared" si="1"/>
        <v>9.2561777411609106E-2</v>
      </c>
      <c r="M5" s="2">
        <f t="shared" si="1"/>
        <v>7.6609952681131535E-2</v>
      </c>
      <c r="N5" s="2">
        <f t="shared" si="1"/>
        <v>7.8057162060349169E-2</v>
      </c>
      <c r="O5" s="2">
        <f t="shared" si="1"/>
        <v>9.4551012775552459E-2</v>
      </c>
      <c r="P5" s="2">
        <f t="shared" si="1"/>
        <v>8.8296032911817798E-2</v>
      </c>
      <c r="Q5" s="2">
        <f t="shared" si="1"/>
        <v>7.2832031567593353E-2</v>
      </c>
      <c r="R5" s="2">
        <f t="shared" si="1"/>
        <v>5.5205346544313333E-2</v>
      </c>
      <c r="S5" s="2">
        <f t="shared" si="1"/>
        <v>3.8294135820871253E-2</v>
      </c>
      <c r="T5" s="2">
        <f t="shared" si="1"/>
        <v>2.6326202078127626E-2</v>
      </c>
      <c r="U5" s="2">
        <f t="shared" si="1"/>
        <v>3.5405137322283231E-2</v>
      </c>
    </row>
    <row r="6" spans="2:23" x14ac:dyDescent="0.3">
      <c r="B6" s="11" t="s">
        <v>11</v>
      </c>
      <c r="C6" s="1">
        <v>51.41</v>
      </c>
      <c r="D6" s="1">
        <v>48.59</v>
      </c>
      <c r="E6" s="1">
        <v>59.52</v>
      </c>
      <c r="F6" s="1">
        <v>39.03</v>
      </c>
      <c r="G6" s="1">
        <v>1.45</v>
      </c>
      <c r="H6" s="2">
        <f t="shared" ref="H6:U6" si="2">H20/$V20</f>
        <v>8.8242035296814125E-2</v>
      </c>
      <c r="I6" s="2">
        <f t="shared" si="2"/>
        <v>0.10848216646978967</v>
      </c>
      <c r="J6" s="2">
        <f t="shared" si="2"/>
        <v>0.1082705971543927</v>
      </c>
      <c r="K6" s="2">
        <f t="shared" si="2"/>
        <v>9.8785239514095805E-2</v>
      </c>
      <c r="L6" s="2">
        <f t="shared" si="2"/>
        <v>0.10192351769248401</v>
      </c>
      <c r="M6" s="2">
        <f t="shared" si="2"/>
        <v>8.0766586152788311E-2</v>
      </c>
      <c r="N6" s="2">
        <f t="shared" si="2"/>
        <v>8.2847017754191718E-2</v>
      </c>
      <c r="O6" s="2">
        <f t="shared" si="2"/>
        <v>8.6549480773638457E-2</v>
      </c>
      <c r="P6" s="2">
        <f t="shared" si="2"/>
        <v>7.1157813078509852E-2</v>
      </c>
      <c r="Q6" s="2">
        <f t="shared" si="2"/>
        <v>5.4937498898076483E-2</v>
      </c>
      <c r="R6" s="2">
        <f t="shared" si="2"/>
        <v>4.1150231844708125E-2</v>
      </c>
      <c r="S6" s="2">
        <f t="shared" si="2"/>
        <v>3.0571766074860274E-2</v>
      </c>
      <c r="T6" s="2">
        <f t="shared" si="2"/>
        <v>2.0028561857578588E-2</v>
      </c>
      <c r="U6" s="2">
        <f t="shared" si="2"/>
        <v>2.62874874380719E-2</v>
      </c>
    </row>
    <row r="7" spans="2:23" x14ac:dyDescent="0.3">
      <c r="B7" s="11" t="s">
        <v>12</v>
      </c>
      <c r="C7" s="1">
        <v>51.32</v>
      </c>
      <c r="D7" s="1">
        <v>48.68</v>
      </c>
      <c r="E7" s="1">
        <v>63.35</v>
      </c>
      <c r="F7" s="1">
        <v>35.11</v>
      </c>
      <c r="G7" s="1">
        <v>1.54</v>
      </c>
      <c r="H7" s="2">
        <f t="shared" ref="H7:U7" si="3">H21/$V21</f>
        <v>9.1804047191186816E-2</v>
      </c>
      <c r="I7" s="2">
        <f t="shared" si="3"/>
        <v>0.11011797796702867</v>
      </c>
      <c r="J7" s="2">
        <f t="shared" si="3"/>
        <v>0.10342995546527073</v>
      </c>
      <c r="K7" s="2">
        <f t="shared" si="3"/>
        <v>9.5085553558871785E-2</v>
      </c>
      <c r="L7" s="2">
        <f t="shared" si="3"/>
        <v>8.9991405578560821E-2</v>
      </c>
      <c r="M7" s="2">
        <f t="shared" si="3"/>
        <v>7.4474568325650442E-2</v>
      </c>
      <c r="N7" s="2">
        <f t="shared" si="3"/>
        <v>8.3272130635205874E-2</v>
      </c>
      <c r="O7" s="2">
        <f t="shared" si="3"/>
        <v>9.0428939760918828E-2</v>
      </c>
      <c r="P7" s="2">
        <f t="shared" si="3"/>
        <v>7.900617235721541E-2</v>
      </c>
      <c r="Q7" s="2">
        <f t="shared" si="3"/>
        <v>6.0348464723806547E-2</v>
      </c>
      <c r="R7" s="2">
        <f t="shared" si="3"/>
        <v>4.3878428002187671E-2</v>
      </c>
      <c r="S7" s="2">
        <f t="shared" si="3"/>
        <v>2.9236659113993282E-2</v>
      </c>
      <c r="T7" s="2">
        <f t="shared" si="3"/>
        <v>2.117352918196734E-2</v>
      </c>
      <c r="U7" s="2">
        <f t="shared" si="3"/>
        <v>2.7752168138135792E-2</v>
      </c>
    </row>
    <row r="8" spans="2:23" x14ac:dyDescent="0.3">
      <c r="B8" s="11" t="s">
        <v>13</v>
      </c>
      <c r="C8" s="1">
        <v>50.92</v>
      </c>
      <c r="D8" s="1">
        <v>49.08</v>
      </c>
      <c r="E8" s="1">
        <v>83.35</v>
      </c>
      <c r="F8" s="1">
        <v>14.88</v>
      </c>
      <c r="G8" s="1">
        <v>1.77</v>
      </c>
      <c r="H8" s="2">
        <f t="shared" ref="H8:U8" si="4">H22/$V22</f>
        <v>9.6627772158768527E-2</v>
      </c>
      <c r="I8" s="2">
        <f t="shared" si="4"/>
        <v>0.10802476749636135</v>
      </c>
      <c r="J8" s="2">
        <f t="shared" si="4"/>
        <v>0.10721069640081901</v>
      </c>
      <c r="K8" s="2">
        <f t="shared" si="4"/>
        <v>9.4604928830451199E-2</v>
      </c>
      <c r="L8" s="2">
        <f t="shared" si="4"/>
        <v>9.1274637985050699E-2</v>
      </c>
      <c r="M8" s="2">
        <f t="shared" si="4"/>
        <v>7.8545526309297675E-2</v>
      </c>
      <c r="N8" s="2">
        <f t="shared" si="4"/>
        <v>8.2615881787009404E-2</v>
      </c>
      <c r="O8" s="2">
        <f t="shared" si="4"/>
        <v>8.8807755877346628E-2</v>
      </c>
      <c r="P8" s="2">
        <f t="shared" si="4"/>
        <v>7.4598514936971158E-2</v>
      </c>
      <c r="Q8" s="2">
        <f t="shared" si="4"/>
        <v>5.861311887904877E-2</v>
      </c>
      <c r="R8" s="2">
        <f t="shared" si="4"/>
        <v>4.3195105705898316E-2</v>
      </c>
      <c r="S8" s="2">
        <f t="shared" si="4"/>
        <v>2.9232552976293263E-2</v>
      </c>
      <c r="T8" s="2">
        <f t="shared" si="4"/>
        <v>2.0228433283173398E-2</v>
      </c>
      <c r="U8" s="2">
        <f t="shared" si="4"/>
        <v>2.6420307373510619E-2</v>
      </c>
    </row>
    <row r="9" spans="2:23" x14ac:dyDescent="0.3">
      <c r="B9" s="11" t="s">
        <v>14</v>
      </c>
      <c r="C9" s="1">
        <v>52.42</v>
      </c>
      <c r="D9" s="1">
        <v>47.58</v>
      </c>
      <c r="E9" s="1">
        <v>72.900000000000006</v>
      </c>
      <c r="F9" s="1">
        <v>26.88</v>
      </c>
      <c r="G9" s="1">
        <v>0.22</v>
      </c>
      <c r="H9" s="2">
        <f t="shared" ref="H9:U9" si="5">H23/$V23</f>
        <v>8.7629106884142632E-2</v>
      </c>
      <c r="I9" s="2">
        <f t="shared" si="5"/>
        <v>0.10775653907868704</v>
      </c>
      <c r="J9" s="2">
        <f t="shared" si="5"/>
        <v>0.10663488651057001</v>
      </c>
      <c r="K9" s="2">
        <f t="shared" si="5"/>
        <v>9.2972535090589017E-2</v>
      </c>
      <c r="L9" s="2">
        <f t="shared" si="5"/>
        <v>9.2910221059026965E-2</v>
      </c>
      <c r="M9" s="2">
        <f t="shared" si="5"/>
        <v>7.5290928634855356E-2</v>
      </c>
      <c r="N9" s="2">
        <f t="shared" si="5"/>
        <v>8.2129893598791109E-2</v>
      </c>
      <c r="O9" s="2">
        <f t="shared" si="5"/>
        <v>8.6678817902821267E-2</v>
      </c>
      <c r="P9" s="2">
        <f t="shared" si="5"/>
        <v>7.9434811733732139E-2</v>
      </c>
      <c r="Q9" s="2">
        <f t="shared" si="5"/>
        <v>6.3139692480254236E-2</v>
      </c>
      <c r="R9" s="2">
        <f t="shared" si="5"/>
        <v>4.6782259195214282E-2</v>
      </c>
      <c r="S9" s="2">
        <f t="shared" si="5"/>
        <v>3.209172625445935E-2</v>
      </c>
      <c r="T9" s="2">
        <f t="shared" si="5"/>
        <v>2.061036593915035E-2</v>
      </c>
      <c r="U9" s="2">
        <f t="shared" si="5"/>
        <v>2.5938215637706222E-2</v>
      </c>
    </row>
    <row r="10" spans="2:23" x14ac:dyDescent="0.3">
      <c r="B10" s="11" t="s">
        <v>15</v>
      </c>
      <c r="C10" s="1">
        <v>51.71</v>
      </c>
      <c r="D10" s="1">
        <v>48.29</v>
      </c>
      <c r="E10" s="1">
        <v>59.18</v>
      </c>
      <c r="F10" s="1">
        <v>40.770000000000003</v>
      </c>
      <c r="G10" s="1">
        <v>0.05</v>
      </c>
      <c r="H10" s="2">
        <f t="shared" ref="H10:U10" si="6">H24/$V24</f>
        <v>9.9332237361116058E-2</v>
      </c>
      <c r="I10" s="2">
        <f t="shared" si="6"/>
        <v>0.12086147488001141</v>
      </c>
      <c r="J10" s="2">
        <f t="shared" si="6"/>
        <v>0.12138316444163948</v>
      </c>
      <c r="K10" s="2">
        <f t="shared" si="6"/>
        <v>0.10827984954982008</v>
      </c>
      <c r="L10" s="2">
        <f t="shared" si="6"/>
        <v>9.9059940858217496E-2</v>
      </c>
      <c r="M10" s="2">
        <f t="shared" si="6"/>
        <v>7.7194786158176279E-2</v>
      </c>
      <c r="N10" s="2">
        <f t="shared" si="6"/>
        <v>7.4800103828946904E-2</v>
      </c>
      <c r="O10" s="2">
        <f t="shared" si="6"/>
        <v>7.8673330720644141E-2</v>
      </c>
      <c r="P10" s="2">
        <f t="shared" si="6"/>
        <v>6.7702580963675138E-2</v>
      </c>
      <c r="Q10" s="2">
        <f t="shared" si="6"/>
        <v>5.2616845737669039E-2</v>
      </c>
      <c r="R10" s="2">
        <f t="shared" si="6"/>
        <v>3.7470034660545506E-2</v>
      </c>
      <c r="S10" s="2">
        <f t="shared" si="6"/>
        <v>2.5125078253434244E-2</v>
      </c>
      <c r="T10" s="2">
        <f t="shared" si="6"/>
        <v>1.6650803910890334E-2</v>
      </c>
      <c r="U10" s="2">
        <f t="shared" si="6"/>
        <v>2.0849768675213893E-2</v>
      </c>
    </row>
    <row r="11" spans="2:23" x14ac:dyDescent="0.3">
      <c r="B11" s="11" t="s">
        <v>16</v>
      </c>
      <c r="C11" s="1">
        <v>50.27</v>
      </c>
      <c r="D11" s="1">
        <v>49.73</v>
      </c>
      <c r="E11" s="1">
        <v>83.15</v>
      </c>
      <c r="F11" s="1">
        <v>15.1</v>
      </c>
      <c r="G11" s="1">
        <v>1.75</v>
      </c>
      <c r="H11" s="2">
        <f t="shared" ref="H11:U11" si="7">H25/$V25</f>
        <v>0.10222647179347084</v>
      </c>
      <c r="I11" s="2">
        <f t="shared" si="7"/>
        <v>0.10446660292309794</v>
      </c>
      <c r="J11" s="2">
        <f t="shared" si="7"/>
        <v>9.9658516596093427E-2</v>
      </c>
      <c r="K11" s="2">
        <f t="shared" si="7"/>
        <v>8.9495970495833896E-2</v>
      </c>
      <c r="L11" s="2">
        <f t="shared" si="7"/>
        <v>9.1490233574648278E-2</v>
      </c>
      <c r="M11" s="2">
        <f t="shared" si="7"/>
        <v>7.80767654691982E-2</v>
      </c>
      <c r="N11" s="2">
        <f t="shared" si="7"/>
        <v>8.5862587078267993E-2</v>
      </c>
      <c r="O11" s="2">
        <f t="shared" si="7"/>
        <v>8.7009971315394077E-2</v>
      </c>
      <c r="P11" s="2">
        <f t="shared" si="7"/>
        <v>7.3268679142193691E-2</v>
      </c>
      <c r="Q11" s="2">
        <f t="shared" si="7"/>
        <v>5.6413058325365389E-2</v>
      </c>
      <c r="R11" s="2">
        <f t="shared" si="7"/>
        <v>4.5130446660292312E-2</v>
      </c>
      <c r="S11" s="2">
        <f t="shared" si="7"/>
        <v>3.4585439147657424E-2</v>
      </c>
      <c r="T11" s="2">
        <f t="shared" si="7"/>
        <v>2.4641442425898101E-2</v>
      </c>
      <c r="U11" s="2">
        <f t="shared" si="7"/>
        <v>2.7673815052588445E-2</v>
      </c>
    </row>
    <row r="12" spans="2:23" ht="15" thickBot="1" x14ac:dyDescent="0.35">
      <c r="B12" s="12" t="s">
        <v>17</v>
      </c>
      <c r="C12" s="3">
        <v>52.42</v>
      </c>
      <c r="D12" s="3">
        <v>47.58</v>
      </c>
      <c r="E12" s="3">
        <v>37.950000000000003</v>
      </c>
      <c r="F12" s="3">
        <v>62.05</v>
      </c>
      <c r="G12" s="4">
        <v>0</v>
      </c>
      <c r="H12" s="2">
        <f t="shared" ref="H12:U12" si="8">H26/$V26</f>
        <v>8.5483112325198549E-2</v>
      </c>
      <c r="I12" s="2">
        <f t="shared" si="8"/>
        <v>0.10977440888615518</v>
      </c>
      <c r="J12" s="2">
        <f t="shared" si="8"/>
        <v>0.11370461493930568</v>
      </c>
      <c r="K12" s="2">
        <f t="shared" si="8"/>
        <v>0.10400799609240734</v>
      </c>
      <c r="L12" s="2">
        <f t="shared" si="8"/>
        <v>9.6572715595998337E-2</v>
      </c>
      <c r="M12" s="2">
        <f t="shared" si="8"/>
        <v>7.4334714257286036E-2</v>
      </c>
      <c r="N12" s="2">
        <f t="shared" si="8"/>
        <v>7.624780650180002E-2</v>
      </c>
      <c r="O12" s="2">
        <f t="shared" si="8"/>
        <v>8.4379579210159747E-2</v>
      </c>
      <c r="P12" s="2">
        <f t="shared" si="8"/>
        <v>7.5248294950883726E-2</v>
      </c>
      <c r="Q12" s="2">
        <f t="shared" si="8"/>
        <v>5.9749081896629704E-2</v>
      </c>
      <c r="R12" s="2">
        <f t="shared" si="8"/>
        <v>4.311015431372904E-2</v>
      </c>
      <c r="S12" s="2">
        <f t="shared" si="8"/>
        <v>3.0179821625630914E-2</v>
      </c>
      <c r="T12" s="2">
        <f t="shared" si="8"/>
        <v>2.0686723230276607E-2</v>
      </c>
      <c r="U12" s="2">
        <f t="shared" si="8"/>
        <v>2.6520976174539138E-2</v>
      </c>
    </row>
    <row r="13" spans="2:23" x14ac:dyDescent="0.3"/>
    <row r="15" spans="2:23" ht="15" thickBot="1" x14ac:dyDescent="0.35">
      <c r="E15" s="114" t="s">
        <v>85</v>
      </c>
      <c r="F15" s="114"/>
      <c r="G15" s="114"/>
      <c r="M15" t="s">
        <v>113</v>
      </c>
    </row>
    <row r="16" spans="2:23" ht="15" thickBot="1" x14ac:dyDescent="0.35">
      <c r="B16" s="43"/>
      <c r="C16" s="108" t="s">
        <v>8</v>
      </c>
      <c r="D16" s="108"/>
      <c r="E16" s="108" t="s">
        <v>6</v>
      </c>
      <c r="F16" s="108"/>
      <c r="G16" s="108"/>
      <c r="H16" s="108" t="s">
        <v>77</v>
      </c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15"/>
      <c r="V16" s="44"/>
      <c r="W16" s="44"/>
    </row>
    <row r="17" spans="2:23" s="68" customFormat="1" ht="15" thickBot="1" x14ac:dyDescent="0.35">
      <c r="B17" s="64" t="s">
        <v>84</v>
      </c>
      <c r="C17" s="65" t="s">
        <v>79</v>
      </c>
      <c r="D17" s="66" t="s">
        <v>80</v>
      </c>
      <c r="E17" s="66" t="s">
        <v>81</v>
      </c>
      <c r="F17" s="66" t="s">
        <v>82</v>
      </c>
      <c r="G17" s="66" t="s">
        <v>83</v>
      </c>
      <c r="H17" s="66" t="s">
        <v>7</v>
      </c>
      <c r="I17" s="66" t="s">
        <v>63</v>
      </c>
      <c r="J17" s="66" t="s">
        <v>64</v>
      </c>
      <c r="K17" s="66" t="s">
        <v>65</v>
      </c>
      <c r="L17" s="66" t="s">
        <v>66</v>
      </c>
      <c r="M17" s="66" t="s">
        <v>67</v>
      </c>
      <c r="N17" s="66" t="s">
        <v>68</v>
      </c>
      <c r="O17" s="66" t="s">
        <v>69</v>
      </c>
      <c r="P17" s="66" t="s">
        <v>70</v>
      </c>
      <c r="Q17" s="66" t="s">
        <v>71</v>
      </c>
      <c r="R17" s="66" t="s">
        <v>72</v>
      </c>
      <c r="S17" s="66" t="s">
        <v>73</v>
      </c>
      <c r="T17" s="66" t="s">
        <v>74</v>
      </c>
      <c r="U17" s="66" t="s">
        <v>75</v>
      </c>
      <c r="V17" s="66" t="s">
        <v>78</v>
      </c>
      <c r="W17" s="67" t="s">
        <v>76</v>
      </c>
    </row>
    <row r="18" spans="2:23" x14ac:dyDescent="0.3">
      <c r="B18" s="45" t="s">
        <v>9</v>
      </c>
      <c r="C18" s="46">
        <v>49255</v>
      </c>
      <c r="D18" s="47">
        <v>42904</v>
      </c>
      <c r="E18" s="40">
        <v>5234</v>
      </c>
      <c r="F18" s="40">
        <v>10960</v>
      </c>
      <c r="G18" s="40">
        <v>113</v>
      </c>
      <c r="H18" s="48">
        <v>4854</v>
      </c>
      <c r="I18" s="48">
        <v>6739</v>
      </c>
      <c r="J18" s="48">
        <v>8035</v>
      </c>
      <c r="K18" s="48">
        <v>8414</v>
      </c>
      <c r="L18" s="48">
        <v>7642</v>
      </c>
      <c r="M18" s="48">
        <v>5551</v>
      </c>
      <c r="N18" s="48">
        <v>5435</v>
      </c>
      <c r="O18" s="48">
        <v>5934</v>
      </c>
      <c r="P18" s="48">
        <v>5237</v>
      </c>
      <c r="Q18" s="48">
        <v>4287</v>
      </c>
      <c r="R18" s="48">
        <v>3211</v>
      </c>
      <c r="S18" s="48">
        <v>2104</v>
      </c>
      <c r="T18" s="48">
        <v>1359</v>
      </c>
      <c r="U18" s="49">
        <v>1521</v>
      </c>
      <c r="V18" s="49">
        <f>SUM(H18:U18)</f>
        <v>70323</v>
      </c>
      <c r="W18" s="50">
        <f>C18+D18</f>
        <v>92159</v>
      </c>
    </row>
    <row r="19" spans="2:23" x14ac:dyDescent="0.3">
      <c r="B19" s="51" t="s">
        <v>10</v>
      </c>
      <c r="C19" s="52">
        <v>136950</v>
      </c>
      <c r="D19" s="53">
        <v>116749</v>
      </c>
      <c r="E19" s="1">
        <v>11194</v>
      </c>
      <c r="F19" s="1">
        <v>30990</v>
      </c>
      <c r="G19" s="1">
        <v>11604</v>
      </c>
      <c r="H19" s="54">
        <v>13008</v>
      </c>
      <c r="I19" s="54">
        <v>16273</v>
      </c>
      <c r="J19" s="54">
        <v>16945</v>
      </c>
      <c r="K19" s="54">
        <v>16845</v>
      </c>
      <c r="L19" s="54">
        <v>17077</v>
      </c>
      <c r="M19" s="54">
        <v>14134</v>
      </c>
      <c r="N19" s="54">
        <v>14401</v>
      </c>
      <c r="O19" s="54">
        <v>17444</v>
      </c>
      <c r="P19" s="54">
        <v>16290</v>
      </c>
      <c r="Q19" s="54">
        <v>13437</v>
      </c>
      <c r="R19" s="54">
        <v>10185</v>
      </c>
      <c r="S19" s="54">
        <v>7065</v>
      </c>
      <c r="T19" s="54">
        <v>4857</v>
      </c>
      <c r="U19" s="55">
        <v>6532</v>
      </c>
      <c r="V19" s="55">
        <f t="shared" ref="V19:V26" si="9">SUM(H19:U19)</f>
        <v>184493</v>
      </c>
      <c r="W19" s="56">
        <f t="shared" ref="W19:W26" si="10">C19+D19</f>
        <v>253699</v>
      </c>
    </row>
    <row r="20" spans="2:23" x14ac:dyDescent="0.3">
      <c r="B20" s="51" t="s">
        <v>11</v>
      </c>
      <c r="C20" s="52">
        <v>40669</v>
      </c>
      <c r="D20" s="53">
        <v>38434</v>
      </c>
      <c r="E20" s="1">
        <v>9617</v>
      </c>
      <c r="F20" s="1">
        <v>6306</v>
      </c>
      <c r="G20" s="1">
        <v>234</v>
      </c>
      <c r="H20" s="57">
        <v>5005</v>
      </c>
      <c r="I20" s="57">
        <v>6153</v>
      </c>
      <c r="J20" s="57">
        <v>6141</v>
      </c>
      <c r="K20" s="57">
        <v>5603</v>
      </c>
      <c r="L20" s="57">
        <v>5781</v>
      </c>
      <c r="M20" s="57">
        <v>4581</v>
      </c>
      <c r="N20" s="57">
        <v>4699</v>
      </c>
      <c r="O20" s="57">
        <v>4909</v>
      </c>
      <c r="P20" s="57">
        <v>4036</v>
      </c>
      <c r="Q20" s="57">
        <v>3116</v>
      </c>
      <c r="R20" s="57">
        <v>2334</v>
      </c>
      <c r="S20" s="57">
        <v>1734</v>
      </c>
      <c r="T20" s="57">
        <v>1136</v>
      </c>
      <c r="U20" s="55">
        <v>1491</v>
      </c>
      <c r="V20" s="55">
        <f t="shared" si="9"/>
        <v>56719</v>
      </c>
      <c r="W20" s="56">
        <f t="shared" si="10"/>
        <v>79103</v>
      </c>
    </row>
    <row r="21" spans="2:23" x14ac:dyDescent="0.3">
      <c r="B21" s="51" t="s">
        <v>12</v>
      </c>
      <c r="C21" s="52">
        <v>43983</v>
      </c>
      <c r="D21" s="53">
        <v>41723</v>
      </c>
      <c r="E21" s="1">
        <v>13103</v>
      </c>
      <c r="F21" s="1">
        <v>7264</v>
      </c>
      <c r="G21" s="1">
        <v>318</v>
      </c>
      <c r="H21" s="54">
        <v>5875</v>
      </c>
      <c r="I21" s="54">
        <v>7047</v>
      </c>
      <c r="J21" s="54">
        <v>6619</v>
      </c>
      <c r="K21" s="54">
        <v>6085</v>
      </c>
      <c r="L21" s="54">
        <v>5759</v>
      </c>
      <c r="M21" s="54">
        <v>4766</v>
      </c>
      <c r="N21" s="54">
        <v>5329</v>
      </c>
      <c r="O21" s="54">
        <v>5787</v>
      </c>
      <c r="P21" s="54">
        <v>5056</v>
      </c>
      <c r="Q21" s="54">
        <v>3862</v>
      </c>
      <c r="R21" s="54">
        <v>2808</v>
      </c>
      <c r="S21" s="54">
        <v>1871</v>
      </c>
      <c r="T21" s="54">
        <v>1355</v>
      </c>
      <c r="U21" s="55">
        <v>1776</v>
      </c>
      <c r="V21" s="55">
        <f t="shared" si="9"/>
        <v>63995</v>
      </c>
      <c r="W21" s="56">
        <f t="shared" si="10"/>
        <v>85706</v>
      </c>
    </row>
    <row r="22" spans="2:23" x14ac:dyDescent="0.3">
      <c r="B22" s="51" t="s">
        <v>13</v>
      </c>
      <c r="C22" s="52">
        <v>29035</v>
      </c>
      <c r="D22" s="53">
        <v>27989</v>
      </c>
      <c r="E22" s="1">
        <v>10415</v>
      </c>
      <c r="F22" s="1">
        <v>1860</v>
      </c>
      <c r="G22" s="1">
        <v>221</v>
      </c>
      <c r="H22" s="57">
        <v>3917</v>
      </c>
      <c r="I22" s="57">
        <v>4379</v>
      </c>
      <c r="J22" s="57">
        <v>4346</v>
      </c>
      <c r="K22" s="57">
        <v>3835</v>
      </c>
      <c r="L22" s="57">
        <v>3700</v>
      </c>
      <c r="M22" s="57">
        <v>3184</v>
      </c>
      <c r="N22" s="57">
        <v>3349</v>
      </c>
      <c r="O22" s="57">
        <v>3600</v>
      </c>
      <c r="P22" s="57">
        <v>3024</v>
      </c>
      <c r="Q22" s="57">
        <v>2376</v>
      </c>
      <c r="R22" s="57">
        <v>1751</v>
      </c>
      <c r="S22" s="57">
        <v>1185</v>
      </c>
      <c r="T22" s="57">
        <v>820</v>
      </c>
      <c r="U22" s="55">
        <v>1071</v>
      </c>
      <c r="V22" s="55">
        <f t="shared" si="9"/>
        <v>40537</v>
      </c>
      <c r="W22" s="56">
        <f t="shared" si="10"/>
        <v>57024</v>
      </c>
    </row>
    <row r="23" spans="2:23" x14ac:dyDescent="0.3">
      <c r="B23" s="51" t="s">
        <v>14</v>
      </c>
      <c r="C23" s="52">
        <v>45806</v>
      </c>
      <c r="D23" s="53">
        <v>41579</v>
      </c>
      <c r="E23" s="1">
        <v>13735</v>
      </c>
      <c r="F23" s="1">
        <v>5063</v>
      </c>
      <c r="G23" s="1">
        <v>40</v>
      </c>
      <c r="H23" s="57">
        <v>5625</v>
      </c>
      <c r="I23" s="57">
        <v>6917</v>
      </c>
      <c r="J23" s="57">
        <v>6845</v>
      </c>
      <c r="K23" s="57">
        <v>5968</v>
      </c>
      <c r="L23" s="57">
        <v>5964</v>
      </c>
      <c r="M23" s="57">
        <v>4833</v>
      </c>
      <c r="N23" s="57">
        <v>5272</v>
      </c>
      <c r="O23" s="57">
        <v>5564</v>
      </c>
      <c r="P23" s="57">
        <v>5099</v>
      </c>
      <c r="Q23" s="57">
        <v>4053</v>
      </c>
      <c r="R23" s="57">
        <v>3003</v>
      </c>
      <c r="S23" s="57">
        <v>2060</v>
      </c>
      <c r="T23" s="57">
        <v>1323</v>
      </c>
      <c r="U23" s="55">
        <v>1665</v>
      </c>
      <c r="V23" s="55">
        <f t="shared" si="9"/>
        <v>64191</v>
      </c>
      <c r="W23" s="56">
        <f t="shared" si="10"/>
        <v>87385</v>
      </c>
    </row>
    <row r="24" spans="2:23" x14ac:dyDescent="0.3">
      <c r="B24" s="51" t="s">
        <v>15</v>
      </c>
      <c r="C24" s="52">
        <v>299100</v>
      </c>
      <c r="D24" s="53">
        <v>279276</v>
      </c>
      <c r="E24" s="1">
        <v>64145</v>
      </c>
      <c r="F24" s="1">
        <v>44193</v>
      </c>
      <c r="G24" s="1">
        <v>53</v>
      </c>
      <c r="H24" s="57">
        <v>39033</v>
      </c>
      <c r="I24" s="57">
        <v>47493</v>
      </c>
      <c r="J24" s="57">
        <v>47698</v>
      </c>
      <c r="K24" s="57">
        <v>42549</v>
      </c>
      <c r="L24" s="57">
        <v>38926</v>
      </c>
      <c r="M24" s="57">
        <v>30334</v>
      </c>
      <c r="N24" s="57">
        <v>29393</v>
      </c>
      <c r="O24" s="57">
        <v>30915</v>
      </c>
      <c r="P24" s="57">
        <v>26604</v>
      </c>
      <c r="Q24" s="57">
        <v>20676</v>
      </c>
      <c r="R24" s="57">
        <v>14724</v>
      </c>
      <c r="S24" s="57">
        <v>9873</v>
      </c>
      <c r="T24" s="57">
        <v>6543</v>
      </c>
      <c r="U24" s="55">
        <v>8193</v>
      </c>
      <c r="V24" s="55">
        <f t="shared" si="9"/>
        <v>392954</v>
      </c>
      <c r="W24" s="56">
        <f t="shared" si="10"/>
        <v>578376</v>
      </c>
    </row>
    <row r="25" spans="2:23" x14ac:dyDescent="0.3">
      <c r="B25" s="51" t="s">
        <v>16</v>
      </c>
      <c r="C25" s="52">
        <v>28618</v>
      </c>
      <c r="D25" s="53">
        <v>28310</v>
      </c>
      <c r="E25" s="1">
        <v>11207</v>
      </c>
      <c r="F25" s="1">
        <v>2034</v>
      </c>
      <c r="G25" s="1">
        <v>236</v>
      </c>
      <c r="H25" s="57">
        <v>3742</v>
      </c>
      <c r="I25" s="57">
        <v>3824</v>
      </c>
      <c r="J25" s="57">
        <v>3648</v>
      </c>
      <c r="K25" s="57">
        <v>3276</v>
      </c>
      <c r="L25" s="57">
        <v>3349</v>
      </c>
      <c r="M25" s="57">
        <v>2858</v>
      </c>
      <c r="N25" s="57">
        <v>3143</v>
      </c>
      <c r="O25" s="57">
        <v>3185</v>
      </c>
      <c r="P25" s="57">
        <v>2682</v>
      </c>
      <c r="Q25" s="57">
        <v>2065</v>
      </c>
      <c r="R25" s="57">
        <v>1652</v>
      </c>
      <c r="S25" s="57">
        <v>1266</v>
      </c>
      <c r="T25" s="57">
        <v>902</v>
      </c>
      <c r="U25" s="55">
        <v>1013</v>
      </c>
      <c r="V25" s="55">
        <f t="shared" si="9"/>
        <v>36605</v>
      </c>
      <c r="W25" s="56">
        <f t="shared" si="10"/>
        <v>56928</v>
      </c>
    </row>
    <row r="26" spans="2:23" ht="15" thickBot="1" x14ac:dyDescent="0.35">
      <c r="B26" s="58" t="s">
        <v>17</v>
      </c>
      <c r="C26" s="59">
        <v>159229</v>
      </c>
      <c r="D26" s="60">
        <v>144537</v>
      </c>
      <c r="E26" s="3">
        <v>32466</v>
      </c>
      <c r="F26" s="3">
        <v>53093</v>
      </c>
      <c r="G26" s="3">
        <v>0</v>
      </c>
      <c r="H26" s="61">
        <v>18901</v>
      </c>
      <c r="I26" s="61">
        <v>24272</v>
      </c>
      <c r="J26" s="61">
        <v>25141</v>
      </c>
      <c r="K26" s="61">
        <v>22997</v>
      </c>
      <c r="L26" s="61">
        <v>21353</v>
      </c>
      <c r="M26" s="61">
        <v>16436</v>
      </c>
      <c r="N26" s="61">
        <v>16859</v>
      </c>
      <c r="O26" s="61">
        <v>18657</v>
      </c>
      <c r="P26" s="61">
        <v>16638</v>
      </c>
      <c r="Q26" s="61">
        <v>13211</v>
      </c>
      <c r="R26" s="61">
        <v>9532</v>
      </c>
      <c r="S26" s="61">
        <v>6673</v>
      </c>
      <c r="T26" s="61">
        <v>4574</v>
      </c>
      <c r="U26" s="62">
        <v>5864</v>
      </c>
      <c r="V26" s="62">
        <f t="shared" si="9"/>
        <v>221108</v>
      </c>
      <c r="W26" s="63">
        <f t="shared" si="10"/>
        <v>303766</v>
      </c>
    </row>
    <row r="29" spans="2:23" ht="15" thickBot="1" x14ac:dyDescent="0.35"/>
    <row r="30" spans="2:23" ht="15" thickBot="1" x14ac:dyDescent="0.35">
      <c r="B30" s="43"/>
      <c r="C30" s="108" t="s">
        <v>8</v>
      </c>
      <c r="D30" s="108"/>
      <c r="E30" s="108" t="s">
        <v>6</v>
      </c>
      <c r="F30" s="108"/>
      <c r="G30" s="108"/>
      <c r="H30" s="109" t="s">
        <v>77</v>
      </c>
      <c r="I30" s="110"/>
      <c r="J30" s="110"/>
      <c r="K30" s="110"/>
      <c r="L30" s="110"/>
      <c r="M30" s="110"/>
      <c r="N30" s="111"/>
      <c r="O30" s="44"/>
      <c r="P30" s="44"/>
    </row>
    <row r="31" spans="2:23" ht="15" thickBot="1" x14ac:dyDescent="0.35">
      <c r="B31" s="64" t="s">
        <v>84</v>
      </c>
      <c r="C31" s="65" t="s">
        <v>79</v>
      </c>
      <c r="D31" s="66" t="s">
        <v>80</v>
      </c>
      <c r="E31" s="66" t="s">
        <v>81</v>
      </c>
      <c r="F31" s="66" t="s">
        <v>82</v>
      </c>
      <c r="G31" s="66" t="s">
        <v>83</v>
      </c>
      <c r="H31" s="66" t="s">
        <v>103</v>
      </c>
      <c r="I31" s="66" t="s">
        <v>104</v>
      </c>
      <c r="J31" s="66" t="s">
        <v>105</v>
      </c>
      <c r="K31" s="66" t="s">
        <v>106</v>
      </c>
      <c r="L31" s="66" t="s">
        <v>107</v>
      </c>
      <c r="M31" s="66" t="s">
        <v>108</v>
      </c>
      <c r="N31" s="66" t="s">
        <v>109</v>
      </c>
      <c r="O31" s="67" t="s">
        <v>76</v>
      </c>
    </row>
    <row r="32" spans="2:23" x14ac:dyDescent="0.3">
      <c r="B32" s="45" t="s">
        <v>9</v>
      </c>
      <c r="C32" s="77">
        <f>C4/100</f>
        <v>0.53439999999999999</v>
      </c>
      <c r="D32" s="77">
        <f t="shared" ref="D32:G32" si="11">D4/100</f>
        <v>0.46560000000000001</v>
      </c>
      <c r="E32" s="77">
        <f t="shared" si="11"/>
        <v>0.32100000000000001</v>
      </c>
      <c r="F32" s="77">
        <f t="shared" si="11"/>
        <v>0.67200000000000004</v>
      </c>
      <c r="G32" s="77">
        <f t="shared" si="11"/>
        <v>6.9999999999999993E-3</v>
      </c>
      <c r="H32" s="76">
        <f>H4+I4</f>
        <v>0.16485360408401234</v>
      </c>
      <c r="I32" s="76">
        <f>J4+K4</f>
        <v>0.23390640331043897</v>
      </c>
      <c r="J32" s="76">
        <f>L4+M4</f>
        <v>0.18760576198398815</v>
      </c>
      <c r="K32" s="76">
        <f>N4+O4</f>
        <v>0.16166830197801574</v>
      </c>
      <c r="L32" s="76">
        <f>P4+Q4</f>
        <v>0.1354322198996061</v>
      </c>
      <c r="M32" s="76">
        <f>R4+S4</f>
        <v>7.5579824523982195E-2</v>
      </c>
      <c r="N32" s="76">
        <f>T4+U4</f>
        <v>4.0953884219956486E-2</v>
      </c>
      <c r="O32" s="50">
        <f t="shared" ref="O32:O40" si="12">C32+D32</f>
        <v>1</v>
      </c>
    </row>
    <row r="33" spans="2:15" x14ac:dyDescent="0.3">
      <c r="B33" s="51" t="s">
        <v>10</v>
      </c>
      <c r="C33" s="77">
        <f t="shared" ref="C33:G40" si="13">C5/100</f>
        <v>0.53979999999999995</v>
      </c>
      <c r="D33" s="77">
        <f t="shared" si="13"/>
        <v>0.46020000000000005</v>
      </c>
      <c r="E33" s="77">
        <f t="shared" si="13"/>
        <v>0.20800000000000002</v>
      </c>
      <c r="F33" s="77">
        <f t="shared" si="13"/>
        <v>0.57619999999999993</v>
      </c>
      <c r="G33" s="77">
        <f t="shared" si="13"/>
        <v>0.21579999999999999</v>
      </c>
      <c r="H33" s="76">
        <f t="shared" ref="H33:H40" si="14">H5+I5</f>
        <v>0.15871062858753449</v>
      </c>
      <c r="I33" s="76">
        <f t="shared" ref="I33:I40" si="15">J5+K5</f>
        <v>0.18315058023881664</v>
      </c>
      <c r="J33" s="76">
        <f t="shared" ref="J33:J40" si="16">L5+M5</f>
        <v>0.16917173009274064</v>
      </c>
      <c r="K33" s="76">
        <f t="shared" ref="K33:K40" si="17">N5+O5</f>
        <v>0.17260817483590163</v>
      </c>
      <c r="L33" s="76">
        <f t="shared" ref="L33:L40" si="18">P5+Q5</f>
        <v>0.16112806447941114</v>
      </c>
      <c r="M33" s="76">
        <f t="shared" ref="M33:M40" si="19">R5+S5</f>
        <v>9.3499482365184586E-2</v>
      </c>
      <c r="N33" s="76">
        <f t="shared" ref="N33:N40" si="20">T5+U5</f>
        <v>6.1731339400410853E-2</v>
      </c>
      <c r="O33" s="56">
        <f t="shared" si="12"/>
        <v>1</v>
      </c>
    </row>
    <row r="34" spans="2:15" x14ac:dyDescent="0.3">
      <c r="B34" s="51" t="s">
        <v>11</v>
      </c>
      <c r="C34" s="77">
        <f t="shared" si="13"/>
        <v>0.5141</v>
      </c>
      <c r="D34" s="77">
        <f t="shared" si="13"/>
        <v>0.48590000000000005</v>
      </c>
      <c r="E34" s="77">
        <f t="shared" si="13"/>
        <v>0.59520000000000006</v>
      </c>
      <c r="F34" s="77">
        <f t="shared" si="13"/>
        <v>0.39030000000000004</v>
      </c>
      <c r="G34" s="77">
        <f t="shared" si="13"/>
        <v>1.4499999999999999E-2</v>
      </c>
      <c r="H34" s="76">
        <f t="shared" si="14"/>
        <v>0.1967242017666038</v>
      </c>
      <c r="I34" s="76">
        <f t="shared" si="15"/>
        <v>0.20705583666848851</v>
      </c>
      <c r="J34" s="76">
        <f t="shared" si="16"/>
        <v>0.18269010384527232</v>
      </c>
      <c r="K34" s="76">
        <f t="shared" si="17"/>
        <v>0.16939649852783017</v>
      </c>
      <c r="L34" s="76">
        <f t="shared" si="18"/>
        <v>0.12609531197658633</v>
      </c>
      <c r="M34" s="76">
        <f t="shared" si="19"/>
        <v>7.1721997919568403E-2</v>
      </c>
      <c r="N34" s="76">
        <f t="shared" si="20"/>
        <v>4.6316049295650488E-2</v>
      </c>
      <c r="O34" s="56">
        <f t="shared" si="12"/>
        <v>1</v>
      </c>
    </row>
    <row r="35" spans="2:15" x14ac:dyDescent="0.3">
      <c r="B35" s="51" t="s">
        <v>12</v>
      </c>
      <c r="C35" s="77">
        <f t="shared" si="13"/>
        <v>0.51319999999999999</v>
      </c>
      <c r="D35" s="77">
        <f t="shared" si="13"/>
        <v>0.48680000000000001</v>
      </c>
      <c r="E35" s="77">
        <f t="shared" si="13"/>
        <v>0.63350000000000006</v>
      </c>
      <c r="F35" s="77">
        <f t="shared" si="13"/>
        <v>0.35109999999999997</v>
      </c>
      <c r="G35" s="77">
        <f t="shared" si="13"/>
        <v>1.54E-2</v>
      </c>
      <c r="H35" s="76">
        <f t="shared" si="14"/>
        <v>0.2019220251582155</v>
      </c>
      <c r="I35" s="76">
        <f t="shared" si="15"/>
        <v>0.1985155090241425</v>
      </c>
      <c r="J35" s="76">
        <f t="shared" si="16"/>
        <v>0.16446597390421125</v>
      </c>
      <c r="K35" s="76">
        <f t="shared" si="17"/>
        <v>0.1737010703961247</v>
      </c>
      <c r="L35" s="76">
        <f t="shared" si="18"/>
        <v>0.13935463708102197</v>
      </c>
      <c r="M35" s="76">
        <f t="shared" si="19"/>
        <v>7.3115087116180949E-2</v>
      </c>
      <c r="N35" s="76">
        <f t="shared" si="20"/>
        <v>4.8925697320103129E-2</v>
      </c>
      <c r="O35" s="56">
        <f t="shared" si="12"/>
        <v>1</v>
      </c>
    </row>
    <row r="36" spans="2:15" x14ac:dyDescent="0.3">
      <c r="B36" s="51" t="s">
        <v>13</v>
      </c>
      <c r="C36" s="77">
        <f t="shared" si="13"/>
        <v>0.50919999999999999</v>
      </c>
      <c r="D36" s="77">
        <f t="shared" si="13"/>
        <v>0.49079999999999996</v>
      </c>
      <c r="E36" s="77">
        <f t="shared" si="13"/>
        <v>0.83349999999999991</v>
      </c>
      <c r="F36" s="77">
        <f t="shared" si="13"/>
        <v>0.14880000000000002</v>
      </c>
      <c r="G36" s="77">
        <f t="shared" si="13"/>
        <v>1.77E-2</v>
      </c>
      <c r="H36" s="76">
        <f t="shared" si="14"/>
        <v>0.20465253965512986</v>
      </c>
      <c r="I36" s="76">
        <f t="shared" si="15"/>
        <v>0.20181562523127022</v>
      </c>
      <c r="J36" s="76">
        <f t="shared" si="16"/>
        <v>0.16982016429434837</v>
      </c>
      <c r="K36" s="76">
        <f t="shared" si="17"/>
        <v>0.17142363766435603</v>
      </c>
      <c r="L36" s="76">
        <f t="shared" si="18"/>
        <v>0.13321163381601991</v>
      </c>
      <c r="M36" s="76">
        <f t="shared" si="19"/>
        <v>7.2427658682191587E-2</v>
      </c>
      <c r="N36" s="76">
        <f t="shared" si="20"/>
        <v>4.6648740656684021E-2</v>
      </c>
      <c r="O36" s="56">
        <f t="shared" si="12"/>
        <v>1</v>
      </c>
    </row>
    <row r="37" spans="2:15" x14ac:dyDescent="0.3">
      <c r="B37" s="51" t="s">
        <v>14</v>
      </c>
      <c r="C37" s="77">
        <f t="shared" si="13"/>
        <v>0.5242</v>
      </c>
      <c r="D37" s="77">
        <f t="shared" si="13"/>
        <v>0.4758</v>
      </c>
      <c r="E37" s="77">
        <f t="shared" si="13"/>
        <v>0.72900000000000009</v>
      </c>
      <c r="F37" s="77">
        <f t="shared" si="13"/>
        <v>0.26879999999999998</v>
      </c>
      <c r="G37" s="77">
        <f t="shared" si="13"/>
        <v>2.2000000000000001E-3</v>
      </c>
      <c r="H37" s="76">
        <f t="shared" si="14"/>
        <v>0.19538564596282967</v>
      </c>
      <c r="I37" s="76">
        <f t="shared" si="15"/>
        <v>0.19960742160115902</v>
      </c>
      <c r="J37" s="76">
        <f t="shared" si="16"/>
        <v>0.16820114969388233</v>
      </c>
      <c r="K37" s="76">
        <f t="shared" si="17"/>
        <v>0.16880871150161236</v>
      </c>
      <c r="L37" s="76">
        <f t="shared" si="18"/>
        <v>0.14257450421398637</v>
      </c>
      <c r="M37" s="76">
        <f t="shared" si="19"/>
        <v>7.8873985449673639E-2</v>
      </c>
      <c r="N37" s="76">
        <f t="shared" si="20"/>
        <v>4.6548581576856568E-2</v>
      </c>
      <c r="O37" s="56">
        <f t="shared" si="12"/>
        <v>1</v>
      </c>
    </row>
    <row r="38" spans="2:15" x14ac:dyDescent="0.3">
      <c r="B38" s="51" t="s">
        <v>15</v>
      </c>
      <c r="C38" s="77">
        <f t="shared" si="13"/>
        <v>0.5171</v>
      </c>
      <c r="D38" s="77">
        <f t="shared" si="13"/>
        <v>0.4829</v>
      </c>
      <c r="E38" s="77">
        <f t="shared" si="13"/>
        <v>0.59179999999999999</v>
      </c>
      <c r="F38" s="77">
        <f t="shared" si="13"/>
        <v>0.40770000000000001</v>
      </c>
      <c r="G38" s="77">
        <f t="shared" si="13"/>
        <v>5.0000000000000001E-4</v>
      </c>
      <c r="H38" s="76">
        <f t="shared" si="14"/>
        <v>0.22019371224112746</v>
      </c>
      <c r="I38" s="76">
        <f t="shared" si="15"/>
        <v>0.22966301399145955</v>
      </c>
      <c r="J38" s="76">
        <f t="shared" si="16"/>
        <v>0.17625472701639378</v>
      </c>
      <c r="K38" s="76">
        <f t="shared" si="17"/>
        <v>0.15347343454959106</v>
      </c>
      <c r="L38" s="76">
        <f t="shared" si="18"/>
        <v>0.12031942670134418</v>
      </c>
      <c r="M38" s="76">
        <f t="shared" si="19"/>
        <v>6.2595112913979747E-2</v>
      </c>
      <c r="N38" s="76">
        <f t="shared" si="20"/>
        <v>3.750057258610423E-2</v>
      </c>
      <c r="O38" s="56">
        <f t="shared" si="12"/>
        <v>1</v>
      </c>
    </row>
    <row r="39" spans="2:15" x14ac:dyDescent="0.3">
      <c r="B39" s="51" t="s">
        <v>16</v>
      </c>
      <c r="C39" s="77">
        <f t="shared" si="13"/>
        <v>0.50270000000000004</v>
      </c>
      <c r="D39" s="77">
        <f t="shared" si="13"/>
        <v>0.49729999999999996</v>
      </c>
      <c r="E39" s="77">
        <f t="shared" si="13"/>
        <v>0.83150000000000002</v>
      </c>
      <c r="F39" s="77">
        <f t="shared" si="13"/>
        <v>0.151</v>
      </c>
      <c r="G39" s="77">
        <f t="shared" si="13"/>
        <v>1.7500000000000002E-2</v>
      </c>
      <c r="H39" s="76">
        <f t="shared" si="14"/>
        <v>0.20669307471656878</v>
      </c>
      <c r="I39" s="76">
        <f t="shared" si="15"/>
        <v>0.18915448709192734</v>
      </c>
      <c r="J39" s="76">
        <f t="shared" si="16"/>
        <v>0.16956699904384648</v>
      </c>
      <c r="K39" s="76">
        <f t="shared" si="17"/>
        <v>0.17287255839366206</v>
      </c>
      <c r="L39" s="76">
        <f t="shared" si="18"/>
        <v>0.12968173746755907</v>
      </c>
      <c r="M39" s="76">
        <f t="shared" si="19"/>
        <v>7.9715885807949735E-2</v>
      </c>
      <c r="N39" s="76">
        <f t="shared" si="20"/>
        <v>5.2315257478486546E-2</v>
      </c>
      <c r="O39" s="56">
        <f t="shared" si="12"/>
        <v>1</v>
      </c>
    </row>
    <row r="40" spans="2:15" ht="15" thickBot="1" x14ac:dyDescent="0.35">
      <c r="B40" s="58" t="s">
        <v>17</v>
      </c>
      <c r="C40" s="77">
        <f t="shared" si="13"/>
        <v>0.5242</v>
      </c>
      <c r="D40" s="77">
        <f t="shared" si="13"/>
        <v>0.4758</v>
      </c>
      <c r="E40" s="77">
        <f t="shared" si="13"/>
        <v>0.3795</v>
      </c>
      <c r="F40" s="77">
        <f t="shared" si="13"/>
        <v>0.62049999999999994</v>
      </c>
      <c r="G40" s="77">
        <f t="shared" si="13"/>
        <v>0</v>
      </c>
      <c r="H40" s="76">
        <f t="shared" si="14"/>
        <v>0.19525752121135373</v>
      </c>
      <c r="I40" s="76">
        <f t="shared" si="15"/>
        <v>0.21771261103171302</v>
      </c>
      <c r="J40" s="76">
        <f t="shared" si="16"/>
        <v>0.17090742985328439</v>
      </c>
      <c r="K40" s="76">
        <f t="shared" si="17"/>
        <v>0.16062738571195978</v>
      </c>
      <c r="L40" s="76">
        <f t="shared" si="18"/>
        <v>0.13499737684751342</v>
      </c>
      <c r="M40" s="76">
        <f t="shared" si="19"/>
        <v>7.3289975939359958E-2</v>
      </c>
      <c r="N40" s="76">
        <f t="shared" si="20"/>
        <v>4.7207699404815742E-2</v>
      </c>
      <c r="O40" s="63">
        <f t="shared" si="12"/>
        <v>1</v>
      </c>
    </row>
    <row r="43" spans="2:15" x14ac:dyDescent="0.3">
      <c r="D43" t="s">
        <v>110</v>
      </c>
      <c r="E43" t="s">
        <v>111</v>
      </c>
      <c r="J43" t="s">
        <v>110</v>
      </c>
      <c r="K43" t="s">
        <v>111</v>
      </c>
    </row>
    <row r="44" spans="2:15" x14ac:dyDescent="0.3">
      <c r="C44" t="s">
        <v>81</v>
      </c>
      <c r="D44">
        <f>SUM(E18:E26)</f>
        <v>171116</v>
      </c>
      <c r="E44" s="78">
        <f>D44/D47</f>
        <v>0.49498695393088765</v>
      </c>
      <c r="I44" t="s">
        <v>103</v>
      </c>
      <c r="J44" s="80">
        <f>SUM(H18:I26)</f>
        <v>223057</v>
      </c>
      <c r="K44" s="78">
        <f>J44/$J$51</f>
        <v>0.19723412251033445</v>
      </c>
    </row>
    <row r="45" spans="2:15" x14ac:dyDescent="0.3">
      <c r="C45" t="s">
        <v>82</v>
      </c>
      <c r="D45">
        <f>SUM(F18:F26)</f>
        <v>161763</v>
      </c>
      <c r="E45" s="78">
        <f>D45/D47</f>
        <v>0.46793154718858659</v>
      </c>
      <c r="I45" t="s">
        <v>104</v>
      </c>
      <c r="J45" s="80">
        <f>SUM(J18:K26)</f>
        <v>240990</v>
      </c>
      <c r="K45" s="78">
        <f t="shared" ref="K45:K51" si="21">J45/$J$51</f>
        <v>0.2130910537834074</v>
      </c>
    </row>
    <row r="46" spans="2:15" x14ac:dyDescent="0.3">
      <c r="C46" t="s">
        <v>112</v>
      </c>
      <c r="D46">
        <f>SUM(G18:G26)</f>
        <v>12819</v>
      </c>
      <c r="E46" s="78">
        <f>D46/D47</f>
        <v>3.7081498880525775E-2</v>
      </c>
      <c r="I46" t="s">
        <v>105</v>
      </c>
      <c r="J46" s="80">
        <f>SUM(L18:M26)</f>
        <v>196228</v>
      </c>
      <c r="K46" s="78">
        <f t="shared" si="21"/>
        <v>0.17351106395207463</v>
      </c>
    </row>
    <row r="47" spans="2:15" x14ac:dyDescent="0.3">
      <c r="C47" t="s">
        <v>76</v>
      </c>
      <c r="D47">
        <f>SUM(D44:D46)</f>
        <v>345698</v>
      </c>
      <c r="E47" s="79">
        <f>SUM(E44:E46)</f>
        <v>1</v>
      </c>
      <c r="I47" t="s">
        <v>106</v>
      </c>
      <c r="J47" s="80">
        <f>SUM(N18:O26)</f>
        <v>183875</v>
      </c>
      <c r="K47" s="78">
        <f t="shared" si="21"/>
        <v>0.16258814687092424</v>
      </c>
    </row>
    <row r="48" spans="2:15" x14ac:dyDescent="0.3">
      <c r="I48" t="s">
        <v>107</v>
      </c>
      <c r="J48" s="80">
        <f>SUM(P18:Q26)</f>
        <v>151749</v>
      </c>
      <c r="K48" s="78">
        <f t="shared" si="21"/>
        <v>0.13418131175807416</v>
      </c>
    </row>
    <row r="49" spans="9:11" x14ac:dyDescent="0.3">
      <c r="I49" t="s">
        <v>108</v>
      </c>
      <c r="J49" s="80">
        <f>SUM(R18:S26)</f>
        <v>83031</v>
      </c>
      <c r="K49" s="78">
        <f t="shared" si="21"/>
        <v>7.3418661714967831E-2</v>
      </c>
    </row>
    <row r="50" spans="9:11" x14ac:dyDescent="0.3">
      <c r="I50" t="s">
        <v>109</v>
      </c>
      <c r="J50" s="80">
        <f>SUM(T18:U26)</f>
        <v>51995</v>
      </c>
      <c r="K50" s="78">
        <f t="shared" si="21"/>
        <v>4.5975639410217303E-2</v>
      </c>
    </row>
    <row r="51" spans="9:11" x14ac:dyDescent="0.3">
      <c r="I51" t="s">
        <v>76</v>
      </c>
      <c r="J51" s="80">
        <f>SUM(J44:J50)</f>
        <v>1130925</v>
      </c>
      <c r="K51" s="78">
        <f t="shared" si="21"/>
        <v>1</v>
      </c>
    </row>
  </sheetData>
  <mergeCells count="10">
    <mergeCell ref="C30:D30"/>
    <mergeCell ref="E30:G30"/>
    <mergeCell ref="H30:N30"/>
    <mergeCell ref="E2:G2"/>
    <mergeCell ref="C2:D2"/>
    <mergeCell ref="H2:U2"/>
    <mergeCell ref="E15:G15"/>
    <mergeCell ref="C16:D16"/>
    <mergeCell ref="E16:G16"/>
    <mergeCell ref="H16:U1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C93C-20A7-4F5B-B919-D0B3B0497D04}">
  <dimension ref="B1:X79"/>
  <sheetViews>
    <sheetView topLeftCell="G24" zoomScale="85" zoomScaleNormal="85" workbookViewId="0">
      <selection activeCell="B29" sqref="B29"/>
    </sheetView>
  </sheetViews>
  <sheetFormatPr baseColWidth="10" defaultRowHeight="14.4" x14ac:dyDescent="0.3"/>
  <cols>
    <col min="1" max="1" width="17" customWidth="1"/>
    <col min="2" max="2" width="16" customWidth="1"/>
    <col min="3" max="3" width="12.33203125" customWidth="1"/>
    <col min="6" max="6" width="15.6640625" bestFit="1" customWidth="1"/>
    <col min="7" max="7" width="15.6640625" customWidth="1"/>
    <col min="8" max="8" width="15.44140625" customWidth="1"/>
    <col min="23" max="23" width="13.6640625" customWidth="1"/>
  </cols>
  <sheetData>
    <row r="1" spans="2:23" ht="16.2" thickBot="1" x14ac:dyDescent="0.35">
      <c r="B1" s="18"/>
      <c r="C1" s="19" t="s">
        <v>18</v>
      </c>
      <c r="D1" s="121" t="s">
        <v>8</v>
      </c>
      <c r="E1" s="122"/>
      <c r="F1" s="121" t="s">
        <v>6</v>
      </c>
      <c r="G1" s="123"/>
      <c r="H1" s="122"/>
      <c r="I1" s="121" t="s">
        <v>77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</row>
    <row r="2" spans="2:23" x14ac:dyDescent="0.3">
      <c r="B2" s="71" t="s">
        <v>41</v>
      </c>
      <c r="C2" s="72" t="s">
        <v>19</v>
      </c>
      <c r="D2" s="23" t="s">
        <v>1</v>
      </c>
      <c r="E2" s="23" t="s">
        <v>2</v>
      </c>
      <c r="F2" s="23" t="s">
        <v>3</v>
      </c>
      <c r="G2" s="23" t="s">
        <v>4</v>
      </c>
      <c r="H2" s="23" t="s">
        <v>5</v>
      </c>
      <c r="I2" s="23" t="s">
        <v>7</v>
      </c>
      <c r="J2" s="23" t="s">
        <v>63</v>
      </c>
      <c r="K2" s="23" t="s">
        <v>64</v>
      </c>
      <c r="L2" s="23" t="s">
        <v>65</v>
      </c>
      <c r="M2" s="23" t="s">
        <v>66</v>
      </c>
      <c r="N2" s="23" t="s">
        <v>67</v>
      </c>
      <c r="O2" s="23" t="s">
        <v>68</v>
      </c>
      <c r="P2" s="23" t="s">
        <v>69</v>
      </c>
      <c r="Q2" s="23" t="s">
        <v>70</v>
      </c>
      <c r="R2" s="23" t="s">
        <v>71</v>
      </c>
      <c r="S2" s="23" t="s">
        <v>72</v>
      </c>
      <c r="T2" s="23" t="s">
        <v>73</v>
      </c>
      <c r="U2" s="23" t="s">
        <v>74</v>
      </c>
      <c r="V2" s="34" t="s">
        <v>75</v>
      </c>
      <c r="W2" s="39"/>
    </row>
    <row r="3" spans="2:23" s="39" customFormat="1" x14ac:dyDescent="0.3">
      <c r="B3" s="15" t="s">
        <v>42</v>
      </c>
      <c r="C3" s="16" t="s">
        <v>20</v>
      </c>
      <c r="D3" s="22">
        <f t="shared" ref="D3:E23" si="0">(D31/$X31)*100</f>
        <v>52.72640811581951</v>
      </c>
      <c r="E3" s="22">
        <f t="shared" si="0"/>
        <v>47.27359188418049</v>
      </c>
      <c r="F3" s="6">
        <v>100</v>
      </c>
      <c r="G3" s="5">
        <v>0</v>
      </c>
      <c r="H3" s="5">
        <v>0</v>
      </c>
      <c r="I3" s="7">
        <f t="shared" ref="I3:V3" si="1">I31/$W31</f>
        <v>0.11160768699467762</v>
      </c>
      <c r="J3" s="7">
        <f t="shared" si="1"/>
        <v>0.10586884979482387</v>
      </c>
      <c r="K3" s="7">
        <f t="shared" si="1"/>
        <v>0.10639702596189006</v>
      </c>
      <c r="L3" s="7">
        <f t="shared" si="1"/>
        <v>0.10993174338764068</v>
      </c>
      <c r="M3" s="7">
        <f t="shared" si="1"/>
        <v>9.4827936456344214E-2</v>
      </c>
      <c r="N3" s="7">
        <f t="shared" si="1"/>
        <v>8.3797180351846579E-2</v>
      </c>
      <c r="O3" s="7">
        <f t="shared" si="1"/>
        <v>7.5559663592410509E-2</v>
      </c>
      <c r="P3" s="7">
        <f t="shared" si="1"/>
        <v>8.3147117376995899E-2</v>
      </c>
      <c r="Q3" s="7">
        <f t="shared" si="1"/>
        <v>7.5183845935074961E-2</v>
      </c>
      <c r="R3" s="7">
        <f t="shared" si="1"/>
        <v>5.6250761792548655E-2</v>
      </c>
      <c r="S3" s="7">
        <f t="shared" si="1"/>
        <v>3.8506074025921259E-2</v>
      </c>
      <c r="T3" s="7">
        <f t="shared" si="1"/>
        <v>2.6043147929955716E-2</v>
      </c>
      <c r="U3" s="7">
        <f t="shared" si="1"/>
        <v>1.5327266078901393E-2</v>
      </c>
      <c r="V3" s="8">
        <f t="shared" si="1"/>
        <v>1.7551700320968595E-2</v>
      </c>
      <c r="W3" s="21">
        <f>D3+E3</f>
        <v>100</v>
      </c>
    </row>
    <row r="4" spans="2:23" x14ac:dyDescent="0.3">
      <c r="B4" s="15" t="s">
        <v>43</v>
      </c>
      <c r="C4" s="16" t="s">
        <v>21</v>
      </c>
      <c r="D4" s="22">
        <f t="shared" si="0"/>
        <v>52.904334038054969</v>
      </c>
      <c r="E4" s="22">
        <f t="shared" si="0"/>
        <v>47.095665961945031</v>
      </c>
      <c r="F4" s="5">
        <v>100</v>
      </c>
      <c r="G4" s="5">
        <v>0</v>
      </c>
      <c r="H4" s="5">
        <v>0</v>
      </c>
      <c r="I4" s="7">
        <f t="shared" ref="I4:V4" si="2">I32/$W32</f>
        <v>0.1012414043528584</v>
      </c>
      <c r="J4" s="7">
        <f t="shared" si="2"/>
        <v>9.8506683612100854E-2</v>
      </c>
      <c r="K4" s="7">
        <f t="shared" si="2"/>
        <v>0.1056328438826226</v>
      </c>
      <c r="L4" s="7">
        <f t="shared" si="2"/>
        <v>0.10928670312960988</v>
      </c>
      <c r="M4" s="7">
        <f t="shared" si="2"/>
        <v>9.5023035199600578E-2</v>
      </c>
      <c r="N4" s="7">
        <f t="shared" si="2"/>
        <v>8.0963620270975645E-2</v>
      </c>
      <c r="O4" s="7">
        <f t="shared" si="2"/>
        <v>7.1136781426593743E-2</v>
      </c>
      <c r="P4" s="7">
        <f t="shared" si="2"/>
        <v>8.3970678346912381E-2</v>
      </c>
      <c r="Q4" s="7">
        <f t="shared" si="2"/>
        <v>8.4243015682091554E-2</v>
      </c>
      <c r="R4" s="7">
        <f t="shared" si="2"/>
        <v>6.0197898463563534E-2</v>
      </c>
      <c r="S4" s="7">
        <f t="shared" si="2"/>
        <v>4.2098813063114179E-2</v>
      </c>
      <c r="T4" s="7">
        <f t="shared" si="2"/>
        <v>3.0115970315230466E-2</v>
      </c>
      <c r="U4" s="7">
        <f t="shared" si="2"/>
        <v>1.7270726005946032E-2</v>
      </c>
      <c r="V4" s="8">
        <f t="shared" si="2"/>
        <v>2.0311826248780154E-2</v>
      </c>
      <c r="W4" s="21">
        <f t="shared" ref="W4:W23" si="3">D4+E4</f>
        <v>100</v>
      </c>
    </row>
    <row r="5" spans="2:23" x14ac:dyDescent="0.3">
      <c r="B5" s="15" t="s">
        <v>44</v>
      </c>
      <c r="C5" s="16" t="s">
        <v>22</v>
      </c>
      <c r="D5" s="22">
        <f t="shared" si="0"/>
        <v>52.007710594060633</v>
      </c>
      <c r="E5" s="22">
        <f t="shared" si="0"/>
        <v>47.992289405939374</v>
      </c>
      <c r="F5" s="5">
        <v>85.1</v>
      </c>
      <c r="G5" s="5">
        <v>14.9</v>
      </c>
      <c r="H5" s="5">
        <v>0</v>
      </c>
      <c r="I5" s="7">
        <f t="shared" ref="I5:V5" si="4">I33/$W33</f>
        <v>9.2477254923252331E-2</v>
      </c>
      <c r="J5" s="7">
        <f t="shared" si="4"/>
        <v>8.9972000093074489E-2</v>
      </c>
      <c r="K5" s="7">
        <f t="shared" si="4"/>
        <v>9.8348703550015903E-2</v>
      </c>
      <c r="L5" s="7">
        <f t="shared" si="4"/>
        <v>0.10616696010982789</v>
      </c>
      <c r="M5" s="7">
        <f t="shared" si="4"/>
        <v>8.8800812850483593E-2</v>
      </c>
      <c r="N5" s="7">
        <f t="shared" si="4"/>
        <v>7.5809166285319821E-2</v>
      </c>
      <c r="O5" s="7">
        <f t="shared" si="4"/>
        <v>7.4529392146064882E-2</v>
      </c>
      <c r="P5" s="7">
        <f t="shared" si="4"/>
        <v>9.2198031474687622E-2</v>
      </c>
      <c r="Q5" s="7">
        <f t="shared" si="4"/>
        <v>9.0817426645673202E-2</v>
      </c>
      <c r="R5" s="7">
        <f t="shared" si="4"/>
        <v>7.3722746627989041E-2</v>
      </c>
      <c r="S5" s="7">
        <f t="shared" si="4"/>
        <v>4.7460230049096788E-2</v>
      </c>
      <c r="T5" s="7">
        <f t="shared" si="4"/>
        <v>3.227357692993818E-2</v>
      </c>
      <c r="U5" s="7">
        <f t="shared" si="4"/>
        <v>1.847528484669857E-2</v>
      </c>
      <c r="V5" s="8">
        <f t="shared" si="4"/>
        <v>1.8948413467877668E-2</v>
      </c>
      <c r="W5" s="21">
        <f t="shared" si="3"/>
        <v>100</v>
      </c>
    </row>
    <row r="6" spans="2:23" x14ac:dyDescent="0.3">
      <c r="B6" s="15" t="s">
        <v>45</v>
      </c>
      <c r="C6" s="16" t="s">
        <v>23</v>
      </c>
      <c r="D6" s="22">
        <f t="shared" si="0"/>
        <v>52.287921511539004</v>
      </c>
      <c r="E6" s="22">
        <f t="shared" si="0"/>
        <v>47.712078488460996</v>
      </c>
      <c r="F6" s="5">
        <v>43.8</v>
      </c>
      <c r="G6" s="5">
        <v>56.2</v>
      </c>
      <c r="H6" s="5">
        <v>0</v>
      </c>
      <c r="I6" s="7">
        <f t="shared" ref="I6:V6" si="5">I34/$W34</f>
        <v>8.3515083380176131E-2</v>
      </c>
      <c r="J6" s="7">
        <f t="shared" si="5"/>
        <v>8.2803072887389917E-2</v>
      </c>
      <c r="K6" s="7">
        <f t="shared" si="5"/>
        <v>9.3618137530447815E-2</v>
      </c>
      <c r="L6" s="7">
        <f t="shared" si="5"/>
        <v>0.10588720254824809</v>
      </c>
      <c r="M6" s="7">
        <f t="shared" si="5"/>
        <v>9.5866591718193742E-2</v>
      </c>
      <c r="N6" s="7">
        <f t="shared" si="5"/>
        <v>7.8456061457747792E-2</v>
      </c>
      <c r="O6" s="7">
        <f t="shared" si="5"/>
        <v>7.4656173880457186E-2</v>
      </c>
      <c r="P6" s="7">
        <f t="shared" si="5"/>
        <v>8.9031290987446124E-2</v>
      </c>
      <c r="Q6" s="7">
        <f t="shared" si="5"/>
        <v>8.8671538317406789E-2</v>
      </c>
      <c r="R6" s="7">
        <f t="shared" si="5"/>
        <v>7.524077196927112E-2</v>
      </c>
      <c r="S6" s="7">
        <f t="shared" si="5"/>
        <v>5.3423271500843167E-2</v>
      </c>
      <c r="T6" s="7">
        <f t="shared" si="5"/>
        <v>3.6080194866029605E-2</v>
      </c>
      <c r="U6" s="7">
        <f t="shared" si="5"/>
        <v>2.0520891886827805E-2</v>
      </c>
      <c r="V6" s="8">
        <f t="shared" si="5"/>
        <v>2.2229717069514709E-2</v>
      </c>
      <c r="W6" s="21">
        <f t="shared" si="3"/>
        <v>100</v>
      </c>
    </row>
    <row r="7" spans="2:23" x14ac:dyDescent="0.3">
      <c r="B7" s="15" t="s">
        <v>46</v>
      </c>
      <c r="C7" s="16" t="s">
        <v>24</v>
      </c>
      <c r="D7" s="22">
        <f t="shared" si="0"/>
        <v>52.744342326316826</v>
      </c>
      <c r="E7" s="22">
        <f t="shared" si="0"/>
        <v>47.255657673683174</v>
      </c>
      <c r="F7" s="5">
        <v>15.7</v>
      </c>
      <c r="G7" s="5">
        <v>84.3</v>
      </c>
      <c r="H7" s="5">
        <v>0</v>
      </c>
      <c r="I7" s="7">
        <f t="shared" ref="I7:V7" si="6">I35/$W35</f>
        <v>6.9174360491366826E-2</v>
      </c>
      <c r="J7" s="7">
        <f t="shared" si="6"/>
        <v>6.9610300643011727E-2</v>
      </c>
      <c r="K7" s="7">
        <f t="shared" si="6"/>
        <v>8.9842594466673933E-2</v>
      </c>
      <c r="L7" s="7">
        <f t="shared" si="6"/>
        <v>9.651403571595385E-2</v>
      </c>
      <c r="M7" s="7">
        <f t="shared" si="6"/>
        <v>8.5576608697006021E-2</v>
      </c>
      <c r="N7" s="7">
        <f t="shared" si="6"/>
        <v>7.4312226564324527E-2</v>
      </c>
      <c r="O7" s="7">
        <f t="shared" si="6"/>
        <v>7.5697893474910086E-2</v>
      </c>
      <c r="P7" s="7">
        <f t="shared" si="6"/>
        <v>0.10590231826744928</v>
      </c>
      <c r="Q7" s="7">
        <f t="shared" si="6"/>
        <v>0.10808980367123885</v>
      </c>
      <c r="R7" s="7">
        <f t="shared" si="6"/>
        <v>8.0267480421616411E-2</v>
      </c>
      <c r="S7" s="7">
        <f t="shared" si="6"/>
        <v>5.9754939357611045E-2</v>
      </c>
      <c r="T7" s="7">
        <f t="shared" si="6"/>
        <v>3.9989724267854083E-2</v>
      </c>
      <c r="U7" s="7">
        <f t="shared" si="6"/>
        <v>2.2629964657709136E-2</v>
      </c>
      <c r="V7" s="8">
        <f t="shared" si="6"/>
        <v>2.263774930327422E-2</v>
      </c>
      <c r="W7" s="21">
        <f t="shared" si="3"/>
        <v>100</v>
      </c>
    </row>
    <row r="8" spans="2:23" x14ac:dyDescent="0.3">
      <c r="B8" s="15" t="s">
        <v>47</v>
      </c>
      <c r="C8" s="16" t="s">
        <v>25</v>
      </c>
      <c r="D8" s="22">
        <f t="shared" si="0"/>
        <v>52.644535240040859</v>
      </c>
      <c r="E8" s="22">
        <f t="shared" si="0"/>
        <v>47.355464759959141</v>
      </c>
      <c r="F8" s="5">
        <v>73.900000000000006</v>
      </c>
      <c r="G8" s="5">
        <v>26.1</v>
      </c>
      <c r="H8" s="5">
        <v>0</v>
      </c>
      <c r="I8" s="7">
        <f t="shared" ref="I8:V8" si="7">I36/$W36</f>
        <v>8.1621873152817784E-2</v>
      </c>
      <c r="J8" s="7">
        <f t="shared" si="7"/>
        <v>8.3250537647931791E-2</v>
      </c>
      <c r="K8" s="7">
        <f t="shared" si="7"/>
        <v>9.4204721240551861E-2</v>
      </c>
      <c r="L8" s="7">
        <f t="shared" si="7"/>
        <v>9.8185202419730111E-2</v>
      </c>
      <c r="M8" s="7">
        <f t="shared" si="7"/>
        <v>8.4344698351213013E-2</v>
      </c>
      <c r="N8" s="7">
        <f t="shared" si="7"/>
        <v>7.5798925961792413E-2</v>
      </c>
      <c r="O8" s="7">
        <f t="shared" si="7"/>
        <v>7.4792801177165996E-2</v>
      </c>
      <c r="P8" s="7">
        <f t="shared" si="7"/>
        <v>9.9958497352634165E-2</v>
      </c>
      <c r="Q8" s="7">
        <f t="shared" si="7"/>
        <v>9.6499943405480862E-2</v>
      </c>
      <c r="R8" s="7">
        <f t="shared" si="7"/>
        <v>7.6930816344497124E-2</v>
      </c>
      <c r="S8" s="7">
        <f t="shared" si="7"/>
        <v>5.4054054054054057E-2</v>
      </c>
      <c r="T8" s="7">
        <f t="shared" si="7"/>
        <v>3.7214040471369461E-2</v>
      </c>
      <c r="U8" s="7">
        <f t="shared" si="7"/>
        <v>2.1285827474752557E-2</v>
      </c>
      <c r="V8" s="8">
        <f t="shared" si="7"/>
        <v>2.1858060946008829E-2</v>
      </c>
      <c r="W8" s="21">
        <f t="shared" si="3"/>
        <v>100</v>
      </c>
    </row>
    <row r="9" spans="2:23" x14ac:dyDescent="0.3">
      <c r="B9" s="15" t="s">
        <v>48</v>
      </c>
      <c r="C9" s="16" t="s">
        <v>26</v>
      </c>
      <c r="D9" s="22">
        <f t="shared" si="0"/>
        <v>51.820953915194757</v>
      </c>
      <c r="E9" s="22">
        <f t="shared" si="0"/>
        <v>48.17904608480525</v>
      </c>
      <c r="F9" s="5">
        <v>56</v>
      </c>
      <c r="G9" s="5">
        <v>41.7</v>
      </c>
      <c r="H9" s="5">
        <v>2.2999999999999998</v>
      </c>
      <c r="I9" s="7">
        <f t="shared" ref="I9:V9" si="8">I37/$W37</f>
        <v>8.3104409861815567E-2</v>
      </c>
      <c r="J9" s="7">
        <f t="shared" si="8"/>
        <v>8.64950144273684E-2</v>
      </c>
      <c r="K9" s="7">
        <f t="shared" si="8"/>
        <v>0.1010953728627082</v>
      </c>
      <c r="L9" s="7">
        <f t="shared" si="8"/>
        <v>0.10081166921538642</v>
      </c>
      <c r="M9" s="7">
        <f t="shared" si="8"/>
        <v>9.2127569766878636E-2</v>
      </c>
      <c r="N9" s="7">
        <f t="shared" si="8"/>
        <v>7.7208909678446139E-2</v>
      </c>
      <c r="O9" s="7">
        <f t="shared" si="8"/>
        <v>7.129265069161414E-2</v>
      </c>
      <c r="P9" s="7">
        <f t="shared" si="8"/>
        <v>8.8515537964391738E-2</v>
      </c>
      <c r="Q9" s="7">
        <f t="shared" si="8"/>
        <v>9.0875121957970345E-2</v>
      </c>
      <c r="R9" s="7">
        <f t="shared" si="8"/>
        <v>7.4662496453704402E-2</v>
      </c>
      <c r="S9" s="7">
        <f t="shared" si="8"/>
        <v>5.4927793961956031E-2</v>
      </c>
      <c r="T9" s="7">
        <f t="shared" si="8"/>
        <v>3.7552675463786267E-2</v>
      </c>
      <c r="U9" s="7">
        <f t="shared" si="8"/>
        <v>2.1070185514506942E-2</v>
      </c>
      <c r="V9" s="8">
        <f t="shared" si="8"/>
        <v>2.0260592179466776E-2</v>
      </c>
      <c r="W9" s="21">
        <f t="shared" si="3"/>
        <v>100</v>
      </c>
    </row>
    <row r="10" spans="2:23" x14ac:dyDescent="0.3">
      <c r="B10" s="15" t="s">
        <v>49</v>
      </c>
      <c r="C10" s="16" t="s">
        <v>27</v>
      </c>
      <c r="D10" s="22">
        <f t="shared" si="0"/>
        <v>51.888625235674915</v>
      </c>
      <c r="E10" s="22">
        <f t="shared" si="0"/>
        <v>48.111374764325092</v>
      </c>
      <c r="F10" s="5">
        <v>72.900000000000006</v>
      </c>
      <c r="G10" s="5">
        <v>27.1</v>
      </c>
      <c r="H10" s="5">
        <v>0</v>
      </c>
      <c r="I10" s="7">
        <f t="shared" ref="I10:V10" si="9">I38/$W38</f>
        <v>0.10104832945402561</v>
      </c>
      <c r="J10" s="7">
        <f t="shared" si="9"/>
        <v>0.10556604292285982</v>
      </c>
      <c r="K10" s="7">
        <f t="shared" si="9"/>
        <v>0.10965306159851915</v>
      </c>
      <c r="L10" s="7">
        <f t="shared" si="9"/>
        <v>0.11442735919945751</v>
      </c>
      <c r="M10" s="7">
        <f t="shared" si="9"/>
        <v>9.9481333504389424E-2</v>
      </c>
      <c r="N10" s="7">
        <f t="shared" si="9"/>
        <v>8.0319997067609922E-2</v>
      </c>
      <c r="O10" s="7">
        <f t="shared" si="9"/>
        <v>6.5896303355753902E-2</v>
      </c>
      <c r="P10" s="7">
        <f t="shared" si="9"/>
        <v>7.3062331616663312E-2</v>
      </c>
      <c r="Q10" s="7">
        <f t="shared" si="9"/>
        <v>7.3575499880871656E-2</v>
      </c>
      <c r="R10" s="7">
        <f t="shared" si="9"/>
        <v>5.979326649927607E-2</v>
      </c>
      <c r="S10" s="7">
        <f t="shared" si="9"/>
        <v>4.4984696589263788E-2</v>
      </c>
      <c r="T10" s="7">
        <f t="shared" si="9"/>
        <v>3.1559848248813298E-2</v>
      </c>
      <c r="U10" s="7">
        <f t="shared" si="9"/>
        <v>1.812583618935909E-2</v>
      </c>
      <c r="V10" s="8">
        <f t="shared" si="9"/>
        <v>2.2506093873137473E-2</v>
      </c>
      <c r="W10" s="21">
        <f t="shared" si="3"/>
        <v>100</v>
      </c>
    </row>
    <row r="11" spans="2:23" x14ac:dyDescent="0.3">
      <c r="B11" s="15" t="s">
        <v>50</v>
      </c>
      <c r="C11" s="16" t="s">
        <v>28</v>
      </c>
      <c r="D11" s="22">
        <f t="shared" si="0"/>
        <v>52.90121750767306</v>
      </c>
      <c r="E11" s="22">
        <f t="shared" si="0"/>
        <v>47.09878249232694</v>
      </c>
      <c r="F11" s="5">
        <v>28.1</v>
      </c>
      <c r="G11" s="5">
        <v>70.2</v>
      </c>
      <c r="H11" s="5">
        <v>1.7</v>
      </c>
      <c r="I11" s="7">
        <f t="shared" ref="I11:V11" si="10">I39/$W39</f>
        <v>6.8047566229009204E-2</v>
      </c>
      <c r="J11" s="7">
        <f t="shared" si="10"/>
        <v>7.8167857542067565E-2</v>
      </c>
      <c r="K11" s="7">
        <f t="shared" si="10"/>
        <v>8.9543512093619146E-2</v>
      </c>
      <c r="L11" s="7">
        <f t="shared" si="10"/>
        <v>9.9104908814197645E-2</v>
      </c>
      <c r="M11" s="7">
        <f t="shared" si="10"/>
        <v>8.9242568851514603E-2</v>
      </c>
      <c r="N11" s="7">
        <f t="shared" si="10"/>
        <v>7.8546186189284703E-2</v>
      </c>
      <c r="O11" s="7">
        <f t="shared" si="10"/>
        <v>7.0652874867799934E-2</v>
      </c>
      <c r="P11" s="7">
        <f t="shared" si="10"/>
        <v>9.1013834790758461E-2</v>
      </c>
      <c r="Q11" s="7">
        <f t="shared" si="10"/>
        <v>9.7041298011195085E-2</v>
      </c>
      <c r="R11" s="7">
        <f t="shared" si="10"/>
        <v>8.5992381836785578E-2</v>
      </c>
      <c r="S11" s="7">
        <f t="shared" si="10"/>
        <v>5.9388999234744326E-2</v>
      </c>
      <c r="T11" s="7">
        <f t="shared" si="10"/>
        <v>4.1229224168321851E-2</v>
      </c>
      <c r="U11" s="7">
        <f t="shared" si="10"/>
        <v>2.4015270719942219E-2</v>
      </c>
      <c r="V11" s="8">
        <f t="shared" si="10"/>
        <v>2.8013516650759667E-2</v>
      </c>
      <c r="W11" s="21">
        <f t="shared" si="3"/>
        <v>100</v>
      </c>
    </row>
    <row r="12" spans="2:23" x14ac:dyDescent="0.3">
      <c r="B12" s="15" t="s">
        <v>51</v>
      </c>
      <c r="C12" s="16" t="s">
        <v>29</v>
      </c>
      <c r="D12" s="22">
        <f t="shared" si="0"/>
        <v>51.333014699882263</v>
      </c>
      <c r="E12" s="22">
        <f t="shared" si="0"/>
        <v>48.666985300117737</v>
      </c>
      <c r="F12" s="5">
        <v>6.9</v>
      </c>
      <c r="G12" s="5">
        <v>89.3</v>
      </c>
      <c r="H12" s="5">
        <v>3.8</v>
      </c>
      <c r="I12" s="7">
        <f t="shared" ref="I12:V12" si="11">I40/$W40</f>
        <v>5.6759287343892177E-2</v>
      </c>
      <c r="J12" s="7">
        <f t="shared" si="11"/>
        <v>5.4530588561104591E-2</v>
      </c>
      <c r="K12" s="7">
        <f t="shared" si="11"/>
        <v>6.8918223898508491E-2</v>
      </c>
      <c r="L12" s="7">
        <f t="shared" si="11"/>
        <v>9.4502103416898547E-2</v>
      </c>
      <c r="M12" s="7">
        <f t="shared" si="11"/>
        <v>0.10021231982486911</v>
      </c>
      <c r="N12" s="7">
        <f t="shared" si="11"/>
        <v>8.3121233301243588E-2</v>
      </c>
      <c r="O12" s="7">
        <f t="shared" si="11"/>
        <v>6.7071964551820545E-2</v>
      </c>
      <c r="P12" s="7">
        <f t="shared" si="11"/>
        <v>8.9134763744741455E-2</v>
      </c>
      <c r="Q12" s="7">
        <f t="shared" si="11"/>
        <v>9.4119663980798907E-2</v>
      </c>
      <c r="R12" s="7">
        <f t="shared" si="11"/>
        <v>8.9161138878265572E-2</v>
      </c>
      <c r="S12" s="7">
        <f t="shared" si="11"/>
        <v>7.4338313837713804E-2</v>
      </c>
      <c r="T12" s="7">
        <f t="shared" si="11"/>
        <v>5.319864431813686E-2</v>
      </c>
      <c r="U12" s="7">
        <f t="shared" si="11"/>
        <v>3.1003969457595378E-2</v>
      </c>
      <c r="V12" s="8">
        <f t="shared" si="11"/>
        <v>4.3927784884410979E-2</v>
      </c>
      <c r="W12" s="21">
        <f t="shared" si="3"/>
        <v>100</v>
      </c>
    </row>
    <row r="13" spans="2:23" x14ac:dyDescent="0.3">
      <c r="B13" s="15" t="s">
        <v>52</v>
      </c>
      <c r="C13" s="16" t="s">
        <v>30</v>
      </c>
      <c r="D13" s="22">
        <f t="shared" si="0"/>
        <v>56.456549092827856</v>
      </c>
      <c r="E13" s="22">
        <f t="shared" si="0"/>
        <v>43.543450907172137</v>
      </c>
      <c r="F13" s="5">
        <v>0</v>
      </c>
      <c r="G13" s="5">
        <v>34.5</v>
      </c>
      <c r="H13" s="5">
        <v>65.5</v>
      </c>
      <c r="I13" s="7">
        <f t="shared" ref="I13:V13" si="12">I41/$W41</f>
        <v>4.2019032149856111E-2</v>
      </c>
      <c r="J13" s="7">
        <f t="shared" si="12"/>
        <v>4.5514733143835737E-2</v>
      </c>
      <c r="K13" s="7">
        <f t="shared" si="12"/>
        <v>5.4006814851432709E-2</v>
      </c>
      <c r="L13" s="7">
        <f t="shared" si="12"/>
        <v>8.0374640278243675E-2</v>
      </c>
      <c r="M13" s="7">
        <f t="shared" si="12"/>
        <v>8.7012941155699935E-2</v>
      </c>
      <c r="N13" s="7">
        <f t="shared" si="12"/>
        <v>7.2933034374393108E-2</v>
      </c>
      <c r="O13" s="7">
        <f t="shared" si="12"/>
        <v>6.1077664589255135E-2</v>
      </c>
      <c r="P13" s="7">
        <f t="shared" si="12"/>
        <v>7.9271199307921827E-2</v>
      </c>
      <c r="Q13" s="7">
        <f t="shared" si="12"/>
        <v>9.8877138468600481E-2</v>
      </c>
      <c r="R13" s="7">
        <f t="shared" si="12"/>
        <v>0.10451792870888579</v>
      </c>
      <c r="S13" s="7">
        <f t="shared" si="12"/>
        <v>9.1806288730778063E-2</v>
      </c>
      <c r="T13" s="7">
        <f t="shared" si="12"/>
        <v>7.6675906145724823E-2</v>
      </c>
      <c r="U13" s="7">
        <f t="shared" si="12"/>
        <v>4.7598029695803394E-2</v>
      </c>
      <c r="V13" s="8">
        <f t="shared" si="12"/>
        <v>5.8314648399569215E-2</v>
      </c>
      <c r="W13" s="21">
        <f t="shared" si="3"/>
        <v>100</v>
      </c>
    </row>
    <row r="14" spans="2:23" x14ac:dyDescent="0.3">
      <c r="B14" s="15" t="s">
        <v>53</v>
      </c>
      <c r="C14" s="16" t="s">
        <v>31</v>
      </c>
      <c r="D14" s="22">
        <f t="shared" si="0"/>
        <v>55.689175739043883</v>
      </c>
      <c r="E14" s="22">
        <f t="shared" si="0"/>
        <v>44.310824260956117</v>
      </c>
      <c r="F14" s="5">
        <v>2.1</v>
      </c>
      <c r="G14" s="5">
        <v>70.099999999999994</v>
      </c>
      <c r="H14" s="5">
        <v>27.8</v>
      </c>
      <c r="I14" s="7">
        <f t="shared" ref="I14:V14" si="13">I42/$W42</f>
        <v>4.0022761760242789E-2</v>
      </c>
      <c r="J14" s="7">
        <f t="shared" si="13"/>
        <v>4.884852271712934E-2</v>
      </c>
      <c r="K14" s="7">
        <f t="shared" si="13"/>
        <v>5.9046683923948941E-2</v>
      </c>
      <c r="L14" s="7">
        <f t="shared" si="13"/>
        <v>7.4500133892707307E-2</v>
      </c>
      <c r="M14" s="7">
        <f t="shared" si="13"/>
        <v>7.5571275551191641E-2</v>
      </c>
      <c r="N14" s="7">
        <f t="shared" si="13"/>
        <v>6.7660448094260472E-2</v>
      </c>
      <c r="O14" s="7">
        <f t="shared" si="13"/>
        <v>6.0698027314112293E-2</v>
      </c>
      <c r="P14" s="7">
        <f t="shared" si="13"/>
        <v>8.9440328483441939E-2</v>
      </c>
      <c r="Q14" s="7">
        <f t="shared" si="13"/>
        <v>0.11755779701865572</v>
      </c>
      <c r="R14" s="7">
        <f t="shared" si="13"/>
        <v>0.10939034187271267</v>
      </c>
      <c r="S14" s="7">
        <f t="shared" si="13"/>
        <v>9.0991252343122372E-2</v>
      </c>
      <c r="T14" s="7">
        <f t="shared" si="13"/>
        <v>7.4734446130500759E-2</v>
      </c>
      <c r="U14" s="7">
        <f t="shared" si="13"/>
        <v>4.3582076229581365E-2</v>
      </c>
      <c r="V14" s="8">
        <f t="shared" si="13"/>
        <v>4.7955904668392398E-2</v>
      </c>
      <c r="W14" s="21">
        <f t="shared" si="3"/>
        <v>100</v>
      </c>
    </row>
    <row r="15" spans="2:23" x14ac:dyDescent="0.3">
      <c r="B15" s="15" t="s">
        <v>54</v>
      </c>
      <c r="C15" s="16" t="s">
        <v>32</v>
      </c>
      <c r="D15" s="22">
        <f t="shared" si="0"/>
        <v>51.900424842637719</v>
      </c>
      <c r="E15" s="22">
        <f t="shared" si="0"/>
        <v>48.099575157362281</v>
      </c>
      <c r="F15" s="5">
        <v>71.5</v>
      </c>
      <c r="G15" s="5">
        <v>28.5</v>
      </c>
      <c r="H15" s="5">
        <v>0</v>
      </c>
      <c r="I15" s="7">
        <f t="shared" ref="I15:V15" si="14">I43/$W43</f>
        <v>0.10909241516414943</v>
      </c>
      <c r="J15" s="7">
        <f t="shared" si="14"/>
        <v>0.10657057919393287</v>
      </c>
      <c r="K15" s="7">
        <f t="shared" si="14"/>
        <v>0.10727927032424921</v>
      </c>
      <c r="L15" s="7">
        <f t="shared" si="14"/>
        <v>0.10914763784962862</v>
      </c>
      <c r="M15" s="7">
        <f t="shared" si="14"/>
        <v>0.10162814884354493</v>
      </c>
      <c r="N15" s="7">
        <f t="shared" si="14"/>
        <v>8.7435918675391855E-2</v>
      </c>
      <c r="O15" s="7">
        <f t="shared" si="14"/>
        <v>7.3565820839200741E-2</v>
      </c>
      <c r="P15" s="7">
        <f t="shared" si="14"/>
        <v>7.8268952885845511E-2</v>
      </c>
      <c r="Q15" s="7">
        <f t="shared" si="14"/>
        <v>7.2396940663224454E-2</v>
      </c>
      <c r="R15" s="7">
        <f t="shared" si="14"/>
        <v>5.5241093041021254E-2</v>
      </c>
      <c r="S15" s="7">
        <f t="shared" si="14"/>
        <v>3.8996419729224768E-2</v>
      </c>
      <c r="T15" s="7">
        <f t="shared" si="14"/>
        <v>2.6359628535402344E-2</v>
      </c>
      <c r="U15" s="7">
        <f t="shared" si="14"/>
        <v>1.5149423383125788E-2</v>
      </c>
      <c r="V15" s="8">
        <f t="shared" si="14"/>
        <v>1.8867750872058241E-2</v>
      </c>
      <c r="W15" s="21">
        <f t="shared" si="3"/>
        <v>100</v>
      </c>
    </row>
    <row r="16" spans="2:23" x14ac:dyDescent="0.3">
      <c r="B16" s="15" t="s">
        <v>55</v>
      </c>
      <c r="C16" s="16" t="s">
        <v>33</v>
      </c>
      <c r="D16" s="22">
        <f t="shared" si="0"/>
        <v>54.85375222323524</v>
      </c>
      <c r="E16" s="22">
        <f t="shared" si="0"/>
        <v>45.146247776764767</v>
      </c>
      <c r="F16" s="5">
        <v>1.5</v>
      </c>
      <c r="G16" s="5">
        <v>5.9</v>
      </c>
      <c r="H16" s="5">
        <v>92.6</v>
      </c>
      <c r="I16" s="7">
        <f t="shared" ref="I16:V16" si="15">I44/$W44</f>
        <v>4.3209876543209874E-2</v>
      </c>
      <c r="J16" s="7">
        <f t="shared" si="15"/>
        <v>4.7297957588195057E-2</v>
      </c>
      <c r="K16" s="7">
        <f t="shared" si="15"/>
        <v>5.9269031564546076E-2</v>
      </c>
      <c r="L16" s="7">
        <f t="shared" si="15"/>
        <v>7.6118114596566658E-2</v>
      </c>
      <c r="M16" s="7">
        <f t="shared" si="15"/>
        <v>8.2299097690478523E-2</v>
      </c>
      <c r="N16" s="7">
        <f t="shared" si="15"/>
        <v>7.8137724355842209E-2</v>
      </c>
      <c r="O16" s="7">
        <f t="shared" si="15"/>
        <v>7.5572494218052705E-2</v>
      </c>
      <c r="P16" s="7">
        <f t="shared" si="15"/>
        <v>9.9775236978403209E-2</v>
      </c>
      <c r="Q16" s="7">
        <f t="shared" si="15"/>
        <v>0.11620899703573406</v>
      </c>
      <c r="R16" s="7">
        <f t="shared" si="15"/>
        <v>0.10667285579334831</v>
      </c>
      <c r="S16" s="7">
        <f t="shared" si="15"/>
        <v>8.1346297925013841E-2</v>
      </c>
      <c r="T16" s="7">
        <f t="shared" si="15"/>
        <v>5.9277175152285089E-2</v>
      </c>
      <c r="U16" s="7">
        <f t="shared" si="15"/>
        <v>3.4911560637154303E-2</v>
      </c>
      <c r="V16" s="8">
        <f t="shared" si="15"/>
        <v>3.9903579921170072E-2</v>
      </c>
      <c r="W16" s="21">
        <f t="shared" si="3"/>
        <v>100</v>
      </c>
    </row>
    <row r="17" spans="2:24" x14ac:dyDescent="0.3">
      <c r="B17" s="15" t="s">
        <v>56</v>
      </c>
      <c r="C17" s="16" t="s">
        <v>34</v>
      </c>
      <c r="D17" s="22">
        <f t="shared" si="0"/>
        <v>52.943562646918096</v>
      </c>
      <c r="E17" s="22">
        <f t="shared" si="0"/>
        <v>47.056437353081897</v>
      </c>
      <c r="F17" s="5">
        <v>21.4</v>
      </c>
      <c r="G17" s="5">
        <v>78.599999999999994</v>
      </c>
      <c r="H17" s="5">
        <v>0</v>
      </c>
      <c r="I17" s="7">
        <f t="shared" ref="I17:V17" si="16">I45/$W45</f>
        <v>6.1172696147676398E-2</v>
      </c>
      <c r="J17" s="7">
        <f t="shared" si="16"/>
        <v>6.6068906074173386E-2</v>
      </c>
      <c r="K17" s="7">
        <f t="shared" si="16"/>
        <v>8.0410371824646248E-2</v>
      </c>
      <c r="L17" s="7">
        <f t="shared" si="16"/>
        <v>9.365048962099265E-2</v>
      </c>
      <c r="M17" s="7">
        <f t="shared" si="16"/>
        <v>8.8275432757918937E-2</v>
      </c>
      <c r="N17" s="7">
        <f t="shared" si="16"/>
        <v>7.3095984868436797E-2</v>
      </c>
      <c r="O17" s="7">
        <f t="shared" si="16"/>
        <v>6.8391313716570493E-2</v>
      </c>
      <c r="P17" s="7">
        <f t="shared" si="16"/>
        <v>9.3159671511001504E-2</v>
      </c>
      <c r="Q17" s="7">
        <f t="shared" si="16"/>
        <v>9.8726267148705915E-2</v>
      </c>
      <c r="R17" s="7">
        <f t="shared" si="16"/>
        <v>8.7353652405008739E-2</v>
      </c>
      <c r="S17" s="7">
        <f t="shared" si="16"/>
        <v>7.1886896353580573E-2</v>
      </c>
      <c r="T17" s="7">
        <f t="shared" si="16"/>
        <v>5.2170373740033998E-2</v>
      </c>
      <c r="U17" s="7">
        <f t="shared" si="16"/>
        <v>3.1089137357243758E-2</v>
      </c>
      <c r="V17" s="8">
        <f t="shared" si="16"/>
        <v>3.4548806474010582E-2</v>
      </c>
      <c r="W17" s="21">
        <f t="shared" si="3"/>
        <v>100</v>
      </c>
    </row>
    <row r="18" spans="2:24" x14ac:dyDescent="0.3">
      <c r="B18" s="15" t="s">
        <v>57</v>
      </c>
      <c r="C18" s="16" t="s">
        <v>35</v>
      </c>
      <c r="D18" s="22">
        <f t="shared" si="0"/>
        <v>54.279250783175513</v>
      </c>
      <c r="E18" s="22">
        <f t="shared" si="0"/>
        <v>45.72074921682448</v>
      </c>
      <c r="F18" s="5">
        <v>11.8</v>
      </c>
      <c r="G18" s="5">
        <v>62.7</v>
      </c>
      <c r="H18" s="5">
        <v>25.5</v>
      </c>
      <c r="I18" s="7">
        <f t="shared" ref="I18:V18" si="17">I46/$W46</f>
        <v>6.5163334528631309E-2</v>
      </c>
      <c r="J18" s="7">
        <f t="shared" si="17"/>
        <v>7.8148973317422155E-2</v>
      </c>
      <c r="K18" s="7">
        <f t="shared" si="17"/>
        <v>8.4950414729206225E-2</v>
      </c>
      <c r="L18" s="7">
        <f t="shared" si="17"/>
        <v>9.1604893275567131E-2</v>
      </c>
      <c r="M18" s="7">
        <f t="shared" si="17"/>
        <v>8.9682618995832131E-2</v>
      </c>
      <c r="N18" s="7">
        <f t="shared" si="17"/>
        <v>7.479234147115707E-2</v>
      </c>
      <c r="O18" s="7">
        <f t="shared" si="17"/>
        <v>6.4134594470669146E-2</v>
      </c>
      <c r="P18" s="7">
        <f t="shared" si="17"/>
        <v>8.6990259301279751E-2</v>
      </c>
      <c r="Q18" s="7">
        <f t="shared" si="17"/>
        <v>9.8870737342088399E-2</v>
      </c>
      <c r="R18" s="7">
        <f t="shared" si="17"/>
        <v>8.9958909182827687E-2</v>
      </c>
      <c r="S18" s="7">
        <f t="shared" si="17"/>
        <v>6.7591161065421984E-2</v>
      </c>
      <c r="T18" s="7">
        <f t="shared" si="17"/>
        <v>4.8809306864341519E-2</v>
      </c>
      <c r="U18" s="7">
        <f t="shared" si="17"/>
        <v>2.8093421354292197E-2</v>
      </c>
      <c r="V18" s="8">
        <f t="shared" si="17"/>
        <v>3.1209034101263293E-2</v>
      </c>
      <c r="W18" s="21">
        <f t="shared" si="3"/>
        <v>100</v>
      </c>
    </row>
    <row r="19" spans="2:24" x14ac:dyDescent="0.3">
      <c r="B19" s="15" t="s">
        <v>58</v>
      </c>
      <c r="C19" s="16" t="s">
        <v>36</v>
      </c>
      <c r="D19" s="22">
        <f t="shared" si="0"/>
        <v>52.947947307839883</v>
      </c>
      <c r="E19" s="22">
        <f t="shared" si="0"/>
        <v>47.052052692160125</v>
      </c>
      <c r="F19" s="5">
        <v>96</v>
      </c>
      <c r="G19" s="5">
        <v>4</v>
      </c>
      <c r="H19" s="5">
        <v>0</v>
      </c>
      <c r="I19" s="7">
        <f t="shared" ref="I19:V19" si="18">I47/$W47</f>
        <v>0.10643829331702095</v>
      </c>
      <c r="J19" s="7">
        <f t="shared" si="18"/>
        <v>0.11683743691695977</v>
      </c>
      <c r="K19" s="7">
        <f t="shared" si="18"/>
        <v>0.11484936534638324</v>
      </c>
      <c r="L19" s="7">
        <f t="shared" si="18"/>
        <v>9.2215935158281082E-2</v>
      </c>
      <c r="M19" s="7">
        <f t="shared" si="18"/>
        <v>8.1510934393638171E-2</v>
      </c>
      <c r="N19" s="7">
        <f t="shared" si="18"/>
        <v>0.11026150787582199</v>
      </c>
      <c r="O19" s="7">
        <f t="shared" si="18"/>
        <v>0.10964979354641383</v>
      </c>
      <c r="P19" s="7">
        <f t="shared" si="18"/>
        <v>9.1145435081816786E-2</v>
      </c>
      <c r="Q19" s="7">
        <f t="shared" si="18"/>
        <v>6.4230004587857464E-2</v>
      </c>
      <c r="R19" s="7">
        <f t="shared" si="18"/>
        <v>4.1137788652699188E-2</v>
      </c>
      <c r="S19" s="7">
        <f t="shared" si="18"/>
        <v>3.2726716623336899E-2</v>
      </c>
      <c r="T19" s="7">
        <f t="shared" si="18"/>
        <v>1.91160727940052E-2</v>
      </c>
      <c r="U19" s="7">
        <f t="shared" si="18"/>
        <v>1.4681143905795993E-2</v>
      </c>
      <c r="V19" s="8">
        <f t="shared" si="18"/>
        <v>5.1995717999694145E-3</v>
      </c>
      <c r="W19" s="21">
        <f t="shared" si="3"/>
        <v>100</v>
      </c>
    </row>
    <row r="20" spans="2:24" x14ac:dyDescent="0.3">
      <c r="B20" s="15" t="s">
        <v>59</v>
      </c>
      <c r="C20" s="16" t="s">
        <v>37</v>
      </c>
      <c r="D20" s="22">
        <f t="shared" si="0"/>
        <v>52.543476414693757</v>
      </c>
      <c r="E20" s="22">
        <f t="shared" si="0"/>
        <v>47.45652358530625</v>
      </c>
      <c r="F20" s="5">
        <v>71.5</v>
      </c>
      <c r="G20" s="5">
        <v>28.4</v>
      </c>
      <c r="H20" s="5">
        <v>0.1</v>
      </c>
      <c r="I20" s="7">
        <f t="shared" ref="I20:V20" si="19">I48/$W48</f>
        <v>0.11675849831901382</v>
      </c>
      <c r="J20" s="7">
        <f t="shared" si="19"/>
        <v>0.12810515502428091</v>
      </c>
      <c r="K20" s="7">
        <f t="shared" si="19"/>
        <v>0.13193406798655211</v>
      </c>
      <c r="L20" s="7">
        <f t="shared" si="19"/>
        <v>0.11575457601793052</v>
      </c>
      <c r="M20" s="7">
        <f t="shared" si="19"/>
        <v>0.11041977960403437</v>
      </c>
      <c r="N20" s="7">
        <f t="shared" si="19"/>
        <v>0.11650168098617855</v>
      </c>
      <c r="O20" s="7">
        <f t="shared" si="19"/>
        <v>9.7520545386626828E-2</v>
      </c>
      <c r="P20" s="7">
        <f t="shared" si="19"/>
        <v>6.6690791931266341E-2</v>
      </c>
      <c r="Q20" s="7">
        <f t="shared" si="19"/>
        <v>4.5806873365707879E-2</v>
      </c>
      <c r="R20" s="7">
        <f t="shared" si="19"/>
        <v>2.6919125887187149E-2</v>
      </c>
      <c r="S20" s="7">
        <f t="shared" si="19"/>
        <v>1.7276802390735899E-2</v>
      </c>
      <c r="T20" s="7">
        <f t="shared" si="19"/>
        <v>1.2280537915577138E-2</v>
      </c>
      <c r="U20" s="7">
        <f t="shared" si="19"/>
        <v>9.6890175569667534E-3</v>
      </c>
      <c r="V20" s="8">
        <f t="shared" si="19"/>
        <v>4.3425476279417259E-3</v>
      </c>
      <c r="W20" s="21">
        <f t="shared" si="3"/>
        <v>100</v>
      </c>
    </row>
    <row r="21" spans="2:24" x14ac:dyDescent="0.3">
      <c r="B21" s="15" t="s">
        <v>60</v>
      </c>
      <c r="C21" s="16" t="s">
        <v>38</v>
      </c>
      <c r="D21" s="22">
        <f t="shared" si="0"/>
        <v>52.23289579819609</v>
      </c>
      <c r="E21" s="22">
        <f t="shared" si="0"/>
        <v>47.767104201803917</v>
      </c>
      <c r="F21" s="5">
        <v>64.2</v>
      </c>
      <c r="G21" s="5">
        <v>17.600000000000001</v>
      </c>
      <c r="H21" s="5">
        <v>18.2</v>
      </c>
      <c r="I21" s="7">
        <f t="shared" ref="I21:V21" si="20">I49/$W49</f>
        <v>0.12079188982402449</v>
      </c>
      <c r="J21" s="7">
        <f t="shared" si="20"/>
        <v>0.13322494261667941</v>
      </c>
      <c r="K21" s="7">
        <f t="shared" si="20"/>
        <v>0.13481892374394286</v>
      </c>
      <c r="L21" s="7">
        <f t="shared" si="20"/>
        <v>0.11683881662841111</v>
      </c>
      <c r="M21" s="7">
        <f t="shared" si="20"/>
        <v>0.10778500382555471</v>
      </c>
      <c r="N21" s="7">
        <f t="shared" si="20"/>
        <v>0.11352333588370314</v>
      </c>
      <c r="O21" s="7">
        <f t="shared" si="20"/>
        <v>9.4650599336903854E-2</v>
      </c>
      <c r="P21" s="7">
        <f t="shared" si="20"/>
        <v>6.6341494516704916E-2</v>
      </c>
      <c r="Q21" s="7">
        <f t="shared" si="20"/>
        <v>3.9020657995409332E-2</v>
      </c>
      <c r="R21" s="7">
        <f t="shared" si="20"/>
        <v>2.5057383320581484E-2</v>
      </c>
      <c r="S21" s="7">
        <f t="shared" si="20"/>
        <v>1.7884468247895944E-2</v>
      </c>
      <c r="T21" s="7">
        <f t="shared" si="20"/>
        <v>1.4600867125733231E-2</v>
      </c>
      <c r="U21" s="7">
        <f t="shared" si="20"/>
        <v>1.1189747513389442E-2</v>
      </c>
      <c r="V21" s="8">
        <f t="shared" si="20"/>
        <v>4.2718694210660546E-3</v>
      </c>
      <c r="W21" s="21">
        <f t="shared" si="3"/>
        <v>100</v>
      </c>
    </row>
    <row r="22" spans="2:24" x14ac:dyDescent="0.3">
      <c r="B22" s="15" t="s">
        <v>61</v>
      </c>
      <c r="C22" s="16" t="s">
        <v>39</v>
      </c>
      <c r="D22" s="22">
        <f t="shared" si="0"/>
        <v>52.306291325177177</v>
      </c>
      <c r="E22" s="22">
        <f t="shared" si="0"/>
        <v>47.693708674822823</v>
      </c>
      <c r="F22" s="5">
        <v>49.3</v>
      </c>
      <c r="G22" s="5">
        <v>50.2</v>
      </c>
      <c r="H22" s="5">
        <v>0.5</v>
      </c>
      <c r="I22" s="7">
        <f t="shared" ref="I22:V22" si="21">I50/$W50</f>
        <v>0.10914576431613819</v>
      </c>
      <c r="J22" s="7">
        <f t="shared" si="21"/>
        <v>0.12678458747436505</v>
      </c>
      <c r="K22" s="7">
        <f t="shared" si="21"/>
        <v>0.12973260766682443</v>
      </c>
      <c r="L22" s="7">
        <f t="shared" si="21"/>
        <v>0.12011949834358732</v>
      </c>
      <c r="M22" s="7">
        <f t="shared" si="21"/>
        <v>0.11317834043224484</v>
      </c>
      <c r="N22" s="7">
        <f t="shared" si="21"/>
        <v>0.12043500552137561</v>
      </c>
      <c r="O22" s="7">
        <f t="shared" si="21"/>
        <v>9.8053715097018462E-2</v>
      </c>
      <c r="P22" s="7">
        <f t="shared" si="21"/>
        <v>6.8701687963401162E-2</v>
      </c>
      <c r="Q22" s="7">
        <f t="shared" si="21"/>
        <v>4.5087947625808485E-2</v>
      </c>
      <c r="R22" s="7">
        <f t="shared" si="21"/>
        <v>2.7350528474522795E-2</v>
      </c>
      <c r="S22" s="7">
        <f t="shared" si="21"/>
        <v>1.7254298785297367E-2</v>
      </c>
      <c r="T22" s="7">
        <f t="shared" si="21"/>
        <v>1.1792080769837513E-2</v>
      </c>
      <c r="U22" s="7">
        <f t="shared" si="21"/>
        <v>8.6074301940369143E-3</v>
      </c>
      <c r="V22" s="8">
        <f t="shared" si="21"/>
        <v>3.7565073355418834E-3</v>
      </c>
      <c r="W22" s="21">
        <f t="shared" si="3"/>
        <v>100</v>
      </c>
    </row>
    <row r="23" spans="2:24" ht="15" thickBot="1" x14ac:dyDescent="0.35">
      <c r="B23" s="96" t="s">
        <v>62</v>
      </c>
      <c r="C23" s="97" t="s">
        <v>40</v>
      </c>
      <c r="D23" s="98">
        <f t="shared" si="0"/>
        <v>52.312508894264973</v>
      </c>
      <c r="E23" s="98">
        <f t="shared" si="0"/>
        <v>47.687491105735027</v>
      </c>
      <c r="F23" s="86">
        <v>77.5</v>
      </c>
      <c r="G23" s="86">
        <v>12.4</v>
      </c>
      <c r="H23" s="86">
        <v>10.1</v>
      </c>
      <c r="I23" s="99">
        <f t="shared" ref="I23:V23" si="22">I51/$W51</f>
        <v>0.1119159724737414</v>
      </c>
      <c r="J23" s="99">
        <f t="shared" si="22"/>
        <v>0.12072920439454304</v>
      </c>
      <c r="K23" s="99">
        <f t="shared" si="22"/>
        <v>0.1343716044911264</v>
      </c>
      <c r="L23" s="99">
        <f t="shared" si="22"/>
        <v>0.12042738138355669</v>
      </c>
      <c r="M23" s="99">
        <f t="shared" si="22"/>
        <v>0.10394784498370156</v>
      </c>
      <c r="N23" s="99">
        <f t="shared" si="22"/>
        <v>0.10418930339249065</v>
      </c>
      <c r="O23" s="99">
        <f t="shared" si="22"/>
        <v>0.10014487504527345</v>
      </c>
      <c r="P23" s="99">
        <f t="shared" si="22"/>
        <v>7.3101533260895815E-2</v>
      </c>
      <c r="Q23" s="99">
        <f t="shared" si="22"/>
        <v>4.5937462272123628E-2</v>
      </c>
      <c r="R23" s="99">
        <f t="shared" si="22"/>
        <v>3.2657249788723891E-2</v>
      </c>
      <c r="S23" s="99">
        <f t="shared" si="22"/>
        <v>2.2757455028371364E-2</v>
      </c>
      <c r="T23" s="99">
        <f t="shared" si="22"/>
        <v>1.629844259326331E-2</v>
      </c>
      <c r="U23" s="99">
        <f t="shared" si="22"/>
        <v>1.0020523964747072E-2</v>
      </c>
      <c r="V23" s="100">
        <f t="shared" si="22"/>
        <v>3.5011469274417481E-3</v>
      </c>
      <c r="W23" s="21">
        <f t="shared" si="3"/>
        <v>100</v>
      </c>
    </row>
    <row r="24" spans="2:24" ht="15" thickBot="1" x14ac:dyDescent="0.35">
      <c r="B24" s="101" t="s">
        <v>76</v>
      </c>
      <c r="C24" s="102" t="s">
        <v>76</v>
      </c>
      <c r="D24" s="103">
        <f>D52/D53</f>
        <v>0.52959421323161049</v>
      </c>
      <c r="E24" s="103">
        <f>E52/D53</f>
        <v>0.47040578676838951</v>
      </c>
      <c r="F24" s="94">
        <f>F52/F53</f>
        <v>0.47294786875179617</v>
      </c>
      <c r="G24" s="94">
        <f>G52/F53</f>
        <v>0.4084898219588764</v>
      </c>
      <c r="H24" s="94">
        <f>H52/F53</f>
        <v>0.11856230928932744</v>
      </c>
      <c r="I24" s="94">
        <f>I52/$W$52</f>
        <v>8.0127458389921524E-2</v>
      </c>
      <c r="J24" s="94">
        <f t="shared" ref="J24:V24" si="23">J52/$W$52</f>
        <v>8.4143089042821403E-2</v>
      </c>
      <c r="K24" s="94">
        <f t="shared" si="23"/>
        <v>9.3226559229605044E-2</v>
      </c>
      <c r="L24" s="94">
        <f t="shared" si="23"/>
        <v>9.9815887122895339E-2</v>
      </c>
      <c r="M24" s="94">
        <f t="shared" si="23"/>
        <v>9.257070445905477E-2</v>
      </c>
      <c r="N24" s="94">
        <f t="shared" si="23"/>
        <v>8.1942068845335711E-2</v>
      </c>
      <c r="O24" s="94">
        <f t="shared" si="23"/>
        <v>7.3679245819103414E-2</v>
      </c>
      <c r="P24" s="94">
        <f t="shared" si="23"/>
        <v>8.7066259799938248E-2</v>
      </c>
      <c r="Q24" s="94">
        <f t="shared" si="23"/>
        <v>8.856312400911473E-2</v>
      </c>
      <c r="R24" s="94">
        <f t="shared" si="23"/>
        <v>7.4360198281234316E-2</v>
      </c>
      <c r="S24" s="94">
        <f t="shared" si="23"/>
        <v>5.5440800701598868E-2</v>
      </c>
      <c r="T24" s="94">
        <f t="shared" si="23"/>
        <v>3.9889702748623412E-2</v>
      </c>
      <c r="U24" s="94">
        <f t="shared" si="23"/>
        <v>2.3455923718170919E-2</v>
      </c>
      <c r="V24" s="95">
        <f t="shared" si="23"/>
        <v>2.5718977832582295E-2</v>
      </c>
      <c r="W24" s="93">
        <f>W52/$W$52</f>
        <v>1</v>
      </c>
    </row>
    <row r="25" spans="2:24" x14ac:dyDescent="0.3"/>
    <row r="27" spans="2:24" ht="15" thickBot="1" x14ac:dyDescent="0.35">
      <c r="F27" s="125" t="s">
        <v>86</v>
      </c>
      <c r="G27" s="125"/>
      <c r="H27" s="125"/>
    </row>
    <row r="28" spans="2:24" ht="15" thickBot="1" x14ac:dyDescent="0.35"/>
    <row r="29" spans="2:24" ht="16.2" thickBot="1" x14ac:dyDescent="0.35">
      <c r="B29" s="18"/>
      <c r="C29" s="19" t="s">
        <v>18</v>
      </c>
      <c r="D29" s="126" t="s">
        <v>8</v>
      </c>
      <c r="E29" s="126"/>
      <c r="F29" s="126" t="s">
        <v>6</v>
      </c>
      <c r="G29" s="126"/>
      <c r="H29" s="126"/>
      <c r="I29" s="121" t="s">
        <v>77</v>
      </c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4"/>
    </row>
    <row r="30" spans="2:24" s="39" customFormat="1" x14ac:dyDescent="0.3">
      <c r="B30" s="73" t="s">
        <v>41</v>
      </c>
      <c r="C30" s="74" t="s">
        <v>19</v>
      </c>
      <c r="D30" s="74" t="s">
        <v>79</v>
      </c>
      <c r="E30" s="74" t="s">
        <v>80</v>
      </c>
      <c r="F30" s="74" t="s">
        <v>81</v>
      </c>
      <c r="G30" s="74" t="s">
        <v>82</v>
      </c>
      <c r="H30" s="74" t="s">
        <v>83</v>
      </c>
      <c r="I30" s="74" t="s">
        <v>7</v>
      </c>
      <c r="J30" s="74" t="s">
        <v>63</v>
      </c>
      <c r="K30" s="74" t="s">
        <v>64</v>
      </c>
      <c r="L30" s="74" t="s">
        <v>65</v>
      </c>
      <c r="M30" s="74" t="s">
        <v>66</v>
      </c>
      <c r="N30" s="74" t="s">
        <v>67</v>
      </c>
      <c r="O30" s="74" t="s">
        <v>68</v>
      </c>
      <c r="P30" s="74" t="s">
        <v>69</v>
      </c>
      <c r="Q30" s="74" t="s">
        <v>70</v>
      </c>
      <c r="R30" s="74" t="s">
        <v>71</v>
      </c>
      <c r="S30" s="74" t="s">
        <v>72</v>
      </c>
      <c r="T30" s="74" t="s">
        <v>73</v>
      </c>
      <c r="U30" s="74" t="s">
        <v>74</v>
      </c>
      <c r="V30" s="74" t="s">
        <v>75</v>
      </c>
      <c r="W30" s="74" t="s">
        <v>78</v>
      </c>
      <c r="X30" s="75" t="s">
        <v>76</v>
      </c>
    </row>
    <row r="31" spans="2:24" x14ac:dyDescent="0.3">
      <c r="B31" s="69" t="s">
        <v>42</v>
      </c>
      <c r="C31" s="5" t="s">
        <v>20</v>
      </c>
      <c r="D31" s="41">
        <v>69853</v>
      </c>
      <c r="E31" s="41">
        <v>62629</v>
      </c>
      <c r="F31" s="70">
        <f t="shared" ref="F31:H51" si="24">(F3*$X31)/100</f>
        <v>132482</v>
      </c>
      <c r="G31" s="70">
        <f t="shared" si="24"/>
        <v>0</v>
      </c>
      <c r="H31" s="70">
        <f t="shared" si="24"/>
        <v>0</v>
      </c>
      <c r="I31" s="41">
        <v>10988</v>
      </c>
      <c r="J31" s="41">
        <v>10423</v>
      </c>
      <c r="K31" s="41">
        <v>10475</v>
      </c>
      <c r="L31" s="41">
        <v>10823</v>
      </c>
      <c r="M31" s="41">
        <v>9336</v>
      </c>
      <c r="N31" s="41">
        <v>8250</v>
      </c>
      <c r="O31" s="41">
        <v>7439</v>
      </c>
      <c r="P31" s="41">
        <v>8186</v>
      </c>
      <c r="Q31" s="41">
        <v>7402</v>
      </c>
      <c r="R31" s="41">
        <v>5538</v>
      </c>
      <c r="S31" s="41">
        <v>3791</v>
      </c>
      <c r="T31" s="41">
        <v>2564</v>
      </c>
      <c r="U31" s="41">
        <v>1509</v>
      </c>
      <c r="V31" s="41">
        <v>1728</v>
      </c>
      <c r="W31" s="41">
        <f t="shared" ref="W31:W51" si="25">SUM(I31:V31)</f>
        <v>98452</v>
      </c>
      <c r="X31" s="42">
        <f>D31+E31</f>
        <v>132482</v>
      </c>
    </row>
    <row r="32" spans="2:24" x14ac:dyDescent="0.3">
      <c r="B32" s="69" t="s">
        <v>43</v>
      </c>
      <c r="C32" s="5" t="s">
        <v>21</v>
      </c>
      <c r="D32" s="41">
        <v>60057</v>
      </c>
      <c r="E32" s="41">
        <v>53463</v>
      </c>
      <c r="F32" s="70">
        <f t="shared" si="24"/>
        <v>113520</v>
      </c>
      <c r="G32" s="70">
        <f t="shared" si="24"/>
        <v>0</v>
      </c>
      <c r="H32" s="70">
        <f t="shared" si="24"/>
        <v>0</v>
      </c>
      <c r="I32" s="41">
        <v>8922</v>
      </c>
      <c r="J32" s="41">
        <v>8681</v>
      </c>
      <c r="K32" s="41">
        <v>9309</v>
      </c>
      <c r="L32" s="41">
        <v>9631</v>
      </c>
      <c r="M32" s="41">
        <v>8374</v>
      </c>
      <c r="N32" s="41">
        <v>7135</v>
      </c>
      <c r="O32" s="41">
        <v>6269</v>
      </c>
      <c r="P32" s="41">
        <v>7400</v>
      </c>
      <c r="Q32" s="41">
        <v>7424</v>
      </c>
      <c r="R32" s="41">
        <v>5305</v>
      </c>
      <c r="S32" s="41">
        <v>3710</v>
      </c>
      <c r="T32" s="41">
        <v>2654</v>
      </c>
      <c r="U32" s="41">
        <v>1522</v>
      </c>
      <c r="V32" s="41">
        <v>1790</v>
      </c>
      <c r="W32" s="41">
        <f t="shared" si="25"/>
        <v>88126</v>
      </c>
      <c r="X32" s="42">
        <f t="shared" ref="X32:X50" si="26">D32+E32</f>
        <v>113520</v>
      </c>
    </row>
    <row r="33" spans="2:24" x14ac:dyDescent="0.3">
      <c r="B33" s="69" t="s">
        <v>44</v>
      </c>
      <c r="C33" s="5" t="s">
        <v>22</v>
      </c>
      <c r="D33" s="41">
        <v>84447</v>
      </c>
      <c r="E33" s="41">
        <v>77927</v>
      </c>
      <c r="F33" s="70">
        <f t="shared" si="24"/>
        <v>138180.27399999998</v>
      </c>
      <c r="G33" s="70">
        <f t="shared" si="24"/>
        <v>24193.726000000002</v>
      </c>
      <c r="H33" s="70">
        <f t="shared" si="24"/>
        <v>0</v>
      </c>
      <c r="I33" s="41">
        <v>11923</v>
      </c>
      <c r="J33" s="41">
        <v>11600</v>
      </c>
      <c r="K33" s="41">
        <v>12680</v>
      </c>
      <c r="L33" s="41">
        <v>13688</v>
      </c>
      <c r="M33" s="41">
        <v>11449</v>
      </c>
      <c r="N33" s="41">
        <v>9774</v>
      </c>
      <c r="O33" s="41">
        <v>9609</v>
      </c>
      <c r="P33" s="41">
        <v>11887</v>
      </c>
      <c r="Q33" s="41">
        <v>11709</v>
      </c>
      <c r="R33" s="41">
        <v>9505</v>
      </c>
      <c r="S33" s="41">
        <v>6119</v>
      </c>
      <c r="T33" s="41">
        <v>4161</v>
      </c>
      <c r="U33" s="41">
        <v>2382</v>
      </c>
      <c r="V33" s="41">
        <v>2443</v>
      </c>
      <c r="W33" s="41">
        <f t="shared" si="25"/>
        <v>128929</v>
      </c>
      <c r="X33" s="42">
        <f t="shared" si="26"/>
        <v>162374</v>
      </c>
    </row>
    <row r="34" spans="2:24" x14ac:dyDescent="0.3">
      <c r="B34" s="69" t="s">
        <v>45</v>
      </c>
      <c r="C34" s="5" t="s">
        <v>23</v>
      </c>
      <c r="D34" s="41">
        <v>85485</v>
      </c>
      <c r="E34" s="41">
        <v>78004</v>
      </c>
      <c r="F34" s="70">
        <f t="shared" si="24"/>
        <v>71608.181999999986</v>
      </c>
      <c r="G34" s="70">
        <f t="shared" si="24"/>
        <v>91880.818000000014</v>
      </c>
      <c r="H34" s="70">
        <f t="shared" si="24"/>
        <v>0</v>
      </c>
      <c r="I34" s="41">
        <v>11143</v>
      </c>
      <c r="J34" s="41">
        <v>11048</v>
      </c>
      <c r="K34" s="41">
        <v>12491</v>
      </c>
      <c r="L34" s="41">
        <v>14128</v>
      </c>
      <c r="M34" s="41">
        <v>12791</v>
      </c>
      <c r="N34" s="41">
        <v>10468</v>
      </c>
      <c r="O34" s="41">
        <v>9961</v>
      </c>
      <c r="P34" s="41">
        <v>11879</v>
      </c>
      <c r="Q34" s="41">
        <v>11831</v>
      </c>
      <c r="R34" s="41">
        <v>10039</v>
      </c>
      <c r="S34" s="41">
        <v>7128</v>
      </c>
      <c r="T34" s="41">
        <v>4814</v>
      </c>
      <c r="U34" s="41">
        <v>2738</v>
      </c>
      <c r="V34" s="41">
        <v>2966</v>
      </c>
      <c r="W34" s="41">
        <f t="shared" si="25"/>
        <v>133425</v>
      </c>
      <c r="X34" s="42">
        <f t="shared" si="26"/>
        <v>163489</v>
      </c>
    </row>
    <row r="35" spans="2:24" x14ac:dyDescent="0.3">
      <c r="B35" s="69" t="s">
        <v>46</v>
      </c>
      <c r="C35" s="5" t="s">
        <v>24</v>
      </c>
      <c r="D35" s="41">
        <v>80058</v>
      </c>
      <c r="E35" s="41">
        <v>71727</v>
      </c>
      <c r="F35" s="70">
        <f t="shared" si="24"/>
        <v>23830.244999999999</v>
      </c>
      <c r="G35" s="70">
        <f t="shared" si="24"/>
        <v>127954.755</v>
      </c>
      <c r="H35" s="70">
        <f t="shared" si="24"/>
        <v>0</v>
      </c>
      <c r="I35" s="41">
        <v>8886</v>
      </c>
      <c r="J35" s="41">
        <v>8942</v>
      </c>
      <c r="K35" s="41">
        <v>11541</v>
      </c>
      <c r="L35" s="41">
        <v>12398</v>
      </c>
      <c r="M35" s="41">
        <v>10993</v>
      </c>
      <c r="N35" s="41">
        <v>9546</v>
      </c>
      <c r="O35" s="41">
        <v>9724</v>
      </c>
      <c r="P35" s="41">
        <v>13604</v>
      </c>
      <c r="Q35" s="41">
        <v>13885</v>
      </c>
      <c r="R35" s="41">
        <v>10311</v>
      </c>
      <c r="S35" s="41">
        <v>7676</v>
      </c>
      <c r="T35" s="41">
        <v>5137</v>
      </c>
      <c r="U35" s="41">
        <v>2907</v>
      </c>
      <c r="V35" s="41">
        <v>2908</v>
      </c>
      <c r="W35" s="41">
        <f t="shared" si="25"/>
        <v>128458</v>
      </c>
      <c r="X35" s="42">
        <f t="shared" si="26"/>
        <v>151785</v>
      </c>
    </row>
    <row r="36" spans="2:24" x14ac:dyDescent="0.3">
      <c r="B36" s="69" t="s">
        <v>47</v>
      </c>
      <c r="C36" s="5" t="s">
        <v>25</v>
      </c>
      <c r="D36" s="41">
        <v>103078</v>
      </c>
      <c r="E36" s="41">
        <v>92722</v>
      </c>
      <c r="F36" s="70">
        <f t="shared" si="24"/>
        <v>144696.20000000001</v>
      </c>
      <c r="G36" s="70">
        <f t="shared" si="24"/>
        <v>51103.8</v>
      </c>
      <c r="H36" s="70">
        <f t="shared" si="24"/>
        <v>0</v>
      </c>
      <c r="I36" s="41">
        <v>12980</v>
      </c>
      <c r="J36" s="41">
        <v>13239</v>
      </c>
      <c r="K36" s="41">
        <v>14981</v>
      </c>
      <c r="L36" s="41">
        <v>15614</v>
      </c>
      <c r="M36" s="41">
        <v>13413</v>
      </c>
      <c r="N36" s="41">
        <v>12054</v>
      </c>
      <c r="O36" s="41">
        <v>11894</v>
      </c>
      <c r="P36" s="41">
        <v>15896</v>
      </c>
      <c r="Q36" s="41">
        <v>15346</v>
      </c>
      <c r="R36" s="41">
        <v>12234</v>
      </c>
      <c r="S36" s="41">
        <v>8596</v>
      </c>
      <c r="T36" s="41">
        <v>5918</v>
      </c>
      <c r="U36" s="41">
        <v>3385</v>
      </c>
      <c r="V36" s="41">
        <v>3476</v>
      </c>
      <c r="W36" s="41">
        <f t="shared" si="25"/>
        <v>159026</v>
      </c>
      <c r="X36" s="42">
        <f t="shared" si="26"/>
        <v>195800</v>
      </c>
    </row>
    <row r="37" spans="2:24" x14ac:dyDescent="0.3">
      <c r="B37" s="69" t="s">
        <v>48</v>
      </c>
      <c r="C37" s="5" t="s">
        <v>26</v>
      </c>
      <c r="D37" s="41">
        <v>90070</v>
      </c>
      <c r="E37" s="41">
        <v>83740</v>
      </c>
      <c r="F37" s="70">
        <f t="shared" si="24"/>
        <v>97333.6</v>
      </c>
      <c r="G37" s="70">
        <f t="shared" si="24"/>
        <v>72478.77</v>
      </c>
      <c r="H37" s="70">
        <f t="shared" si="24"/>
        <v>3997.6299999999992</v>
      </c>
      <c r="I37" s="41">
        <v>12010</v>
      </c>
      <c r="J37" s="41">
        <v>12500</v>
      </c>
      <c r="K37" s="41">
        <v>14610</v>
      </c>
      <c r="L37" s="41">
        <v>14569</v>
      </c>
      <c r="M37" s="41">
        <v>13314</v>
      </c>
      <c r="N37" s="41">
        <v>11158</v>
      </c>
      <c r="O37" s="41">
        <v>10303</v>
      </c>
      <c r="P37" s="41">
        <v>12792</v>
      </c>
      <c r="Q37" s="41">
        <v>13133</v>
      </c>
      <c r="R37" s="41">
        <v>10790</v>
      </c>
      <c r="S37" s="41">
        <v>7938</v>
      </c>
      <c r="T37" s="41">
        <v>5427</v>
      </c>
      <c r="U37" s="41">
        <v>3045</v>
      </c>
      <c r="V37" s="41">
        <v>2928</v>
      </c>
      <c r="W37" s="41">
        <f t="shared" si="25"/>
        <v>144517</v>
      </c>
      <c r="X37" s="42">
        <f t="shared" si="26"/>
        <v>173810</v>
      </c>
    </row>
    <row r="38" spans="2:24" x14ac:dyDescent="0.3">
      <c r="B38" s="69" t="s">
        <v>49</v>
      </c>
      <c r="C38" s="5" t="s">
        <v>27</v>
      </c>
      <c r="D38" s="41">
        <v>72381</v>
      </c>
      <c r="E38" s="41">
        <v>67112</v>
      </c>
      <c r="F38" s="70">
        <f t="shared" si="24"/>
        <v>101690.39700000001</v>
      </c>
      <c r="G38" s="70">
        <f t="shared" si="24"/>
        <v>37802.603000000003</v>
      </c>
      <c r="H38" s="70">
        <f t="shared" si="24"/>
        <v>0</v>
      </c>
      <c r="I38" s="41">
        <v>11027</v>
      </c>
      <c r="J38" s="41">
        <v>11520</v>
      </c>
      <c r="K38" s="41">
        <v>11966</v>
      </c>
      <c r="L38" s="41">
        <v>12487</v>
      </c>
      <c r="M38" s="41">
        <v>10856</v>
      </c>
      <c r="N38" s="41">
        <v>8765</v>
      </c>
      <c r="O38" s="41">
        <v>7191</v>
      </c>
      <c r="P38" s="41">
        <v>7973</v>
      </c>
      <c r="Q38" s="41">
        <v>8029</v>
      </c>
      <c r="R38" s="41">
        <v>6525</v>
      </c>
      <c r="S38" s="41">
        <v>4909</v>
      </c>
      <c r="T38" s="41">
        <v>3444</v>
      </c>
      <c r="U38" s="41">
        <v>1978</v>
      </c>
      <c r="V38" s="41">
        <v>2456</v>
      </c>
      <c r="W38" s="41">
        <f t="shared" si="25"/>
        <v>109126</v>
      </c>
      <c r="X38" s="42">
        <f t="shared" si="26"/>
        <v>139493</v>
      </c>
    </row>
    <row r="39" spans="2:24" x14ac:dyDescent="0.3">
      <c r="B39" s="69" t="s">
        <v>50</v>
      </c>
      <c r="C39" s="5" t="s">
        <v>28</v>
      </c>
      <c r="D39" s="41">
        <v>72736</v>
      </c>
      <c r="E39" s="41">
        <v>64758</v>
      </c>
      <c r="F39" s="70">
        <f t="shared" si="24"/>
        <v>38635.814000000006</v>
      </c>
      <c r="G39" s="70">
        <f t="shared" si="24"/>
        <v>96520.788</v>
      </c>
      <c r="H39" s="70">
        <f t="shared" si="24"/>
        <v>2337.3979999999997</v>
      </c>
      <c r="I39" s="41">
        <v>7914</v>
      </c>
      <c r="J39" s="41">
        <v>9091</v>
      </c>
      <c r="K39" s="41">
        <v>10414</v>
      </c>
      <c r="L39" s="41">
        <v>11526</v>
      </c>
      <c r="M39" s="41">
        <v>10379</v>
      </c>
      <c r="N39" s="41">
        <v>9135</v>
      </c>
      <c r="O39" s="41">
        <v>8217</v>
      </c>
      <c r="P39" s="41">
        <v>10585</v>
      </c>
      <c r="Q39" s="41">
        <v>11286</v>
      </c>
      <c r="R39" s="41">
        <v>10001</v>
      </c>
      <c r="S39" s="41">
        <v>6907</v>
      </c>
      <c r="T39" s="41">
        <v>4795</v>
      </c>
      <c r="U39" s="41">
        <v>2793</v>
      </c>
      <c r="V39" s="41">
        <v>3258</v>
      </c>
      <c r="W39" s="41">
        <f t="shared" si="25"/>
        <v>116301</v>
      </c>
      <c r="X39" s="42">
        <f t="shared" si="26"/>
        <v>137494</v>
      </c>
    </row>
    <row r="40" spans="2:24" x14ac:dyDescent="0.3">
      <c r="B40" s="69" t="s">
        <v>51</v>
      </c>
      <c r="C40" s="5" t="s">
        <v>29</v>
      </c>
      <c r="D40" s="41">
        <v>44035</v>
      </c>
      <c r="E40" s="41">
        <v>41748</v>
      </c>
      <c r="F40" s="70">
        <f t="shared" si="24"/>
        <v>5919.027000000001</v>
      </c>
      <c r="G40" s="70">
        <f t="shared" si="24"/>
        <v>76604.218999999997</v>
      </c>
      <c r="H40" s="70">
        <f t="shared" si="24"/>
        <v>3259.7539999999995</v>
      </c>
      <c r="I40" s="41">
        <v>4304</v>
      </c>
      <c r="J40" s="41">
        <v>4135</v>
      </c>
      <c r="K40" s="41">
        <v>5226</v>
      </c>
      <c r="L40" s="41">
        <v>7166</v>
      </c>
      <c r="M40" s="41">
        <v>7599</v>
      </c>
      <c r="N40" s="41">
        <v>6303</v>
      </c>
      <c r="O40" s="41">
        <v>5086</v>
      </c>
      <c r="P40" s="41">
        <v>6759</v>
      </c>
      <c r="Q40" s="41">
        <v>7137</v>
      </c>
      <c r="R40" s="41">
        <v>6761</v>
      </c>
      <c r="S40" s="41">
        <v>5637</v>
      </c>
      <c r="T40" s="41">
        <v>4034</v>
      </c>
      <c r="U40" s="41">
        <v>2351</v>
      </c>
      <c r="V40" s="41">
        <v>3331</v>
      </c>
      <c r="W40" s="41">
        <f t="shared" si="25"/>
        <v>75829</v>
      </c>
      <c r="X40" s="42">
        <f t="shared" si="26"/>
        <v>85783</v>
      </c>
    </row>
    <row r="41" spans="2:24" x14ac:dyDescent="0.3">
      <c r="B41" s="69" t="s">
        <v>52</v>
      </c>
      <c r="C41" s="5" t="s">
        <v>30</v>
      </c>
      <c r="D41" s="41">
        <v>69546</v>
      </c>
      <c r="E41" s="41">
        <v>53639</v>
      </c>
      <c r="F41" s="70">
        <f t="shared" si="24"/>
        <v>0</v>
      </c>
      <c r="G41" s="70">
        <f t="shared" si="24"/>
        <v>42498.824999999997</v>
      </c>
      <c r="H41" s="70">
        <f t="shared" si="24"/>
        <v>80686.175000000003</v>
      </c>
      <c r="I41" s="41">
        <v>4760</v>
      </c>
      <c r="J41" s="41">
        <v>5156</v>
      </c>
      <c r="K41" s="41">
        <v>6118</v>
      </c>
      <c r="L41" s="41">
        <v>9105</v>
      </c>
      <c r="M41" s="41">
        <v>9857</v>
      </c>
      <c r="N41" s="41">
        <v>8262</v>
      </c>
      <c r="O41" s="41">
        <v>6919</v>
      </c>
      <c r="P41" s="41">
        <v>8980</v>
      </c>
      <c r="Q41" s="41">
        <v>11201</v>
      </c>
      <c r="R41" s="41">
        <v>11840</v>
      </c>
      <c r="S41" s="41">
        <v>10400</v>
      </c>
      <c r="T41" s="41">
        <v>8686</v>
      </c>
      <c r="U41" s="41">
        <v>5392</v>
      </c>
      <c r="V41" s="41">
        <v>6606</v>
      </c>
      <c r="W41" s="41">
        <f t="shared" si="25"/>
        <v>113282</v>
      </c>
      <c r="X41" s="42">
        <f t="shared" si="26"/>
        <v>123185</v>
      </c>
    </row>
    <row r="42" spans="2:24" x14ac:dyDescent="0.3">
      <c r="B42" s="69" t="s">
        <v>53</v>
      </c>
      <c r="C42" s="5" t="s">
        <v>31</v>
      </c>
      <c r="D42" s="41">
        <v>54273</v>
      </c>
      <c r="E42" s="41">
        <v>43184</v>
      </c>
      <c r="F42" s="70">
        <f t="shared" si="24"/>
        <v>2046.5970000000002</v>
      </c>
      <c r="G42" s="70">
        <f t="shared" si="24"/>
        <v>68317.356999999989</v>
      </c>
      <c r="H42" s="70">
        <f t="shared" si="24"/>
        <v>27093.046000000002</v>
      </c>
      <c r="I42" s="41">
        <v>3587</v>
      </c>
      <c r="J42" s="41">
        <v>4378</v>
      </c>
      <c r="K42" s="41">
        <v>5292</v>
      </c>
      <c r="L42" s="41">
        <v>6677</v>
      </c>
      <c r="M42" s="41">
        <v>6773</v>
      </c>
      <c r="N42" s="41">
        <v>6064</v>
      </c>
      <c r="O42" s="41">
        <v>5440</v>
      </c>
      <c r="P42" s="41">
        <v>8016</v>
      </c>
      <c r="Q42" s="41">
        <v>10536</v>
      </c>
      <c r="R42" s="41">
        <v>9804</v>
      </c>
      <c r="S42" s="41">
        <v>8155</v>
      </c>
      <c r="T42" s="41">
        <v>6698</v>
      </c>
      <c r="U42" s="41">
        <v>3906</v>
      </c>
      <c r="V42" s="41">
        <v>4298</v>
      </c>
      <c r="W42" s="41">
        <f t="shared" si="25"/>
        <v>89624</v>
      </c>
      <c r="X42" s="42">
        <f t="shared" si="26"/>
        <v>97457</v>
      </c>
    </row>
    <row r="43" spans="2:24" x14ac:dyDescent="0.3">
      <c r="B43" s="69" t="s">
        <v>54</v>
      </c>
      <c r="C43" s="5" t="s">
        <v>32</v>
      </c>
      <c r="D43" s="41">
        <v>73054</v>
      </c>
      <c r="E43" s="41">
        <v>67704</v>
      </c>
      <c r="F43" s="70">
        <f t="shared" si="24"/>
        <v>100641.97</v>
      </c>
      <c r="G43" s="70">
        <f t="shared" si="24"/>
        <v>40116.03</v>
      </c>
      <c r="H43" s="70">
        <f t="shared" si="24"/>
        <v>0</v>
      </c>
      <c r="I43" s="41">
        <v>11853</v>
      </c>
      <c r="J43" s="41">
        <v>11579</v>
      </c>
      <c r="K43" s="41">
        <v>11656</v>
      </c>
      <c r="L43" s="41">
        <v>11859</v>
      </c>
      <c r="M43" s="41">
        <v>11042</v>
      </c>
      <c r="N43" s="41">
        <v>9500</v>
      </c>
      <c r="O43" s="41">
        <v>7993</v>
      </c>
      <c r="P43" s="41">
        <v>8504</v>
      </c>
      <c r="Q43" s="41">
        <v>7866</v>
      </c>
      <c r="R43" s="41">
        <v>6002</v>
      </c>
      <c r="S43" s="41">
        <v>4237</v>
      </c>
      <c r="T43" s="41">
        <v>2864</v>
      </c>
      <c r="U43" s="41">
        <v>1646</v>
      </c>
      <c r="V43" s="41">
        <v>2050</v>
      </c>
      <c r="W43" s="41">
        <f t="shared" si="25"/>
        <v>108651</v>
      </c>
      <c r="X43" s="42">
        <f t="shared" si="26"/>
        <v>140758</v>
      </c>
    </row>
    <row r="44" spans="2:24" x14ac:dyDescent="0.3">
      <c r="B44" s="69" t="s">
        <v>55</v>
      </c>
      <c r="C44" s="5" t="s">
        <v>33</v>
      </c>
      <c r="D44" s="41">
        <v>73402</v>
      </c>
      <c r="E44" s="41">
        <v>60412</v>
      </c>
      <c r="F44" s="70">
        <f t="shared" si="24"/>
        <v>2007.21</v>
      </c>
      <c r="G44" s="70">
        <f t="shared" si="24"/>
        <v>7895.0260000000007</v>
      </c>
      <c r="H44" s="70">
        <f t="shared" si="24"/>
        <v>123911.76399999998</v>
      </c>
      <c r="I44" s="41">
        <v>5306</v>
      </c>
      <c r="J44" s="41">
        <v>5808</v>
      </c>
      <c r="K44" s="41">
        <v>7278</v>
      </c>
      <c r="L44" s="41">
        <v>9347</v>
      </c>
      <c r="M44" s="41">
        <v>10106</v>
      </c>
      <c r="N44" s="41">
        <v>9595</v>
      </c>
      <c r="O44" s="41">
        <v>9280</v>
      </c>
      <c r="P44" s="41">
        <v>12252</v>
      </c>
      <c r="Q44" s="41">
        <v>14270</v>
      </c>
      <c r="R44" s="41">
        <v>13099</v>
      </c>
      <c r="S44" s="41">
        <v>9989</v>
      </c>
      <c r="T44" s="41">
        <v>7279</v>
      </c>
      <c r="U44" s="41">
        <v>4287</v>
      </c>
      <c r="V44" s="41">
        <v>4900</v>
      </c>
      <c r="W44" s="41">
        <f t="shared" si="25"/>
        <v>122796</v>
      </c>
      <c r="X44" s="42">
        <f t="shared" si="26"/>
        <v>133814</v>
      </c>
    </row>
    <row r="45" spans="2:24" x14ac:dyDescent="0.3">
      <c r="B45" s="69" t="s">
        <v>56</v>
      </c>
      <c r="C45" s="5" t="s">
        <v>34</v>
      </c>
      <c r="D45" s="41">
        <v>50901</v>
      </c>
      <c r="E45" s="41">
        <v>45241</v>
      </c>
      <c r="F45" s="70">
        <f t="shared" si="24"/>
        <v>20574.387999999999</v>
      </c>
      <c r="G45" s="70">
        <f t="shared" si="24"/>
        <v>75567.611999999994</v>
      </c>
      <c r="H45" s="70">
        <f t="shared" si="24"/>
        <v>0</v>
      </c>
      <c r="I45" s="41">
        <v>5110</v>
      </c>
      <c r="J45" s="41">
        <v>5519</v>
      </c>
      <c r="K45" s="41">
        <v>6717</v>
      </c>
      <c r="L45" s="41">
        <v>7823</v>
      </c>
      <c r="M45" s="41">
        <v>7374</v>
      </c>
      <c r="N45" s="41">
        <v>6106</v>
      </c>
      <c r="O45" s="41">
        <v>5713</v>
      </c>
      <c r="P45" s="41">
        <v>7782</v>
      </c>
      <c r="Q45" s="41">
        <v>8247</v>
      </c>
      <c r="R45" s="41">
        <v>7297</v>
      </c>
      <c r="S45" s="41">
        <v>6005</v>
      </c>
      <c r="T45" s="41">
        <v>4358</v>
      </c>
      <c r="U45" s="41">
        <v>2597</v>
      </c>
      <c r="V45" s="41">
        <v>2886</v>
      </c>
      <c r="W45" s="41">
        <f t="shared" si="25"/>
        <v>83534</v>
      </c>
      <c r="X45" s="42">
        <f t="shared" si="26"/>
        <v>96142</v>
      </c>
    </row>
    <row r="46" spans="2:24" x14ac:dyDescent="0.3">
      <c r="B46" s="69" t="s">
        <v>57</v>
      </c>
      <c r="C46" s="5" t="s">
        <v>35</v>
      </c>
      <c r="D46" s="41">
        <v>107252</v>
      </c>
      <c r="E46" s="41">
        <v>90341</v>
      </c>
      <c r="F46" s="70">
        <f t="shared" si="24"/>
        <v>23315.974000000002</v>
      </c>
      <c r="G46" s="70">
        <f t="shared" si="24"/>
        <v>123890.81100000002</v>
      </c>
      <c r="H46" s="70">
        <f t="shared" si="24"/>
        <v>50386.214999999997</v>
      </c>
      <c r="I46" s="41">
        <v>11085</v>
      </c>
      <c r="J46" s="41">
        <v>13294</v>
      </c>
      <c r="K46" s="41">
        <v>14451</v>
      </c>
      <c r="L46" s="41">
        <v>15583</v>
      </c>
      <c r="M46" s="41">
        <v>15256</v>
      </c>
      <c r="N46" s="41">
        <v>12723</v>
      </c>
      <c r="O46" s="41">
        <v>10910</v>
      </c>
      <c r="P46" s="41">
        <v>14798</v>
      </c>
      <c r="Q46" s="41">
        <v>16819</v>
      </c>
      <c r="R46" s="41">
        <v>15303</v>
      </c>
      <c r="S46" s="41">
        <v>11498</v>
      </c>
      <c r="T46" s="41">
        <v>8303</v>
      </c>
      <c r="U46" s="41">
        <v>4779</v>
      </c>
      <c r="V46" s="41">
        <v>5309</v>
      </c>
      <c r="W46" s="41">
        <f t="shared" si="25"/>
        <v>170111</v>
      </c>
      <c r="X46" s="42">
        <f t="shared" si="26"/>
        <v>197593</v>
      </c>
    </row>
    <row r="47" spans="2:24" x14ac:dyDescent="0.3">
      <c r="B47" s="69" t="s">
        <v>58</v>
      </c>
      <c r="C47" s="5" t="s">
        <v>36</v>
      </c>
      <c r="D47" s="41">
        <v>4140</v>
      </c>
      <c r="E47" s="41">
        <v>3679</v>
      </c>
      <c r="F47" s="70">
        <f t="shared" si="24"/>
        <v>7506.24</v>
      </c>
      <c r="G47" s="70">
        <f t="shared" si="24"/>
        <v>312.76</v>
      </c>
      <c r="H47" s="70">
        <f t="shared" si="24"/>
        <v>0</v>
      </c>
      <c r="I47" s="5">
        <v>696</v>
      </c>
      <c r="J47" s="5">
        <v>764</v>
      </c>
      <c r="K47" s="5">
        <v>751</v>
      </c>
      <c r="L47" s="5">
        <v>603</v>
      </c>
      <c r="M47" s="5">
        <v>533</v>
      </c>
      <c r="N47" s="5">
        <v>721</v>
      </c>
      <c r="O47" s="5">
        <v>717</v>
      </c>
      <c r="P47" s="5">
        <v>596</v>
      </c>
      <c r="Q47" s="5">
        <v>420</v>
      </c>
      <c r="R47" s="5">
        <v>269</v>
      </c>
      <c r="S47" s="5">
        <v>214</v>
      </c>
      <c r="T47" s="5">
        <v>125</v>
      </c>
      <c r="U47" s="5">
        <v>96</v>
      </c>
      <c r="V47" s="5">
        <v>34</v>
      </c>
      <c r="W47" s="41">
        <f t="shared" si="25"/>
        <v>6539</v>
      </c>
      <c r="X47" s="42">
        <f t="shared" si="26"/>
        <v>7819</v>
      </c>
    </row>
    <row r="48" spans="2:24" x14ac:dyDescent="0.3">
      <c r="B48" s="69" t="s">
        <v>59</v>
      </c>
      <c r="C48" s="5" t="s">
        <v>37</v>
      </c>
      <c r="D48" s="41">
        <v>55684</v>
      </c>
      <c r="E48" s="41">
        <v>50293</v>
      </c>
      <c r="F48" s="70">
        <f t="shared" si="24"/>
        <v>75773.554999999993</v>
      </c>
      <c r="G48" s="70">
        <f t="shared" si="24"/>
        <v>30097.467999999997</v>
      </c>
      <c r="H48" s="70">
        <f t="shared" si="24"/>
        <v>105.977</v>
      </c>
      <c r="I48" s="41">
        <v>10002</v>
      </c>
      <c r="J48" s="41">
        <v>10974</v>
      </c>
      <c r="K48" s="41">
        <v>11302</v>
      </c>
      <c r="L48" s="41">
        <v>9916</v>
      </c>
      <c r="M48" s="41">
        <v>9459</v>
      </c>
      <c r="N48" s="41">
        <v>9980</v>
      </c>
      <c r="O48" s="41">
        <v>8354</v>
      </c>
      <c r="P48" s="41">
        <v>5713</v>
      </c>
      <c r="Q48" s="41">
        <v>3924</v>
      </c>
      <c r="R48" s="41">
        <v>2306</v>
      </c>
      <c r="S48" s="41">
        <v>1480</v>
      </c>
      <c r="T48" s="41">
        <v>1052</v>
      </c>
      <c r="U48" s="5">
        <v>830</v>
      </c>
      <c r="V48" s="5">
        <v>372</v>
      </c>
      <c r="W48" s="41">
        <f t="shared" si="25"/>
        <v>85664</v>
      </c>
      <c r="X48" s="42">
        <f t="shared" si="26"/>
        <v>105977</v>
      </c>
    </row>
    <row r="49" spans="2:24" x14ac:dyDescent="0.3">
      <c r="B49" s="69" t="s">
        <v>60</v>
      </c>
      <c r="C49" s="5" t="s">
        <v>38</v>
      </c>
      <c r="D49" s="41">
        <v>21369</v>
      </c>
      <c r="E49" s="41">
        <v>19542</v>
      </c>
      <c r="F49" s="70">
        <f t="shared" si="24"/>
        <v>26264.862000000001</v>
      </c>
      <c r="G49" s="70">
        <f t="shared" si="24"/>
        <v>7200.3360000000011</v>
      </c>
      <c r="H49" s="70">
        <f t="shared" si="24"/>
        <v>7445.8019999999997</v>
      </c>
      <c r="I49" s="41">
        <v>3789</v>
      </c>
      <c r="J49" s="41">
        <v>4179</v>
      </c>
      <c r="K49" s="41">
        <v>4229</v>
      </c>
      <c r="L49" s="41">
        <v>3665</v>
      </c>
      <c r="M49" s="41">
        <v>3381</v>
      </c>
      <c r="N49" s="41">
        <v>3561</v>
      </c>
      <c r="O49" s="41">
        <v>2969</v>
      </c>
      <c r="P49" s="41">
        <v>2081</v>
      </c>
      <c r="Q49" s="41">
        <v>1224</v>
      </c>
      <c r="R49" s="5">
        <v>786</v>
      </c>
      <c r="S49" s="5">
        <v>561</v>
      </c>
      <c r="T49" s="5">
        <v>458</v>
      </c>
      <c r="U49" s="5">
        <v>351</v>
      </c>
      <c r="V49" s="5">
        <v>134</v>
      </c>
      <c r="W49" s="41">
        <f t="shared" si="25"/>
        <v>31368</v>
      </c>
      <c r="X49" s="42">
        <f t="shared" si="26"/>
        <v>40911</v>
      </c>
    </row>
    <row r="50" spans="2:24" x14ac:dyDescent="0.3">
      <c r="B50" s="69" t="s">
        <v>61</v>
      </c>
      <c r="C50" s="5" t="s">
        <v>39</v>
      </c>
      <c r="D50" s="41">
        <v>66055</v>
      </c>
      <c r="E50" s="41">
        <v>60230</v>
      </c>
      <c r="F50" s="70">
        <f t="shared" si="24"/>
        <v>62258.504999999997</v>
      </c>
      <c r="G50" s="70">
        <f t="shared" si="24"/>
        <v>63395.07</v>
      </c>
      <c r="H50" s="70">
        <f t="shared" si="24"/>
        <v>631.42499999999995</v>
      </c>
      <c r="I50" s="41">
        <v>11070</v>
      </c>
      <c r="J50" s="41">
        <v>12859</v>
      </c>
      <c r="K50" s="41">
        <v>13158</v>
      </c>
      <c r="L50" s="41">
        <v>12183</v>
      </c>
      <c r="M50" s="41">
        <v>11479</v>
      </c>
      <c r="N50" s="41">
        <v>12215</v>
      </c>
      <c r="O50" s="41">
        <v>9945</v>
      </c>
      <c r="P50" s="41">
        <v>6968</v>
      </c>
      <c r="Q50" s="41">
        <v>4573</v>
      </c>
      <c r="R50" s="41">
        <v>2774</v>
      </c>
      <c r="S50" s="41">
        <v>1750</v>
      </c>
      <c r="T50" s="41">
        <v>1196</v>
      </c>
      <c r="U50" s="5">
        <v>873</v>
      </c>
      <c r="V50" s="5">
        <v>381</v>
      </c>
      <c r="W50" s="41">
        <f t="shared" si="25"/>
        <v>101424</v>
      </c>
      <c r="X50" s="42">
        <f t="shared" si="26"/>
        <v>126285</v>
      </c>
    </row>
    <row r="51" spans="2:24" ht="15" thickBot="1" x14ac:dyDescent="0.35">
      <c r="B51" s="85" t="s">
        <v>62</v>
      </c>
      <c r="C51" s="86" t="s">
        <v>40</v>
      </c>
      <c r="D51" s="87">
        <v>11028</v>
      </c>
      <c r="E51" s="87">
        <v>10053</v>
      </c>
      <c r="F51" s="88">
        <f t="shared" si="24"/>
        <v>16337.775</v>
      </c>
      <c r="G51" s="88">
        <f t="shared" si="24"/>
        <v>2614.0439999999999</v>
      </c>
      <c r="H51" s="88">
        <f t="shared" si="24"/>
        <v>2129.181</v>
      </c>
      <c r="I51" s="87">
        <v>1854</v>
      </c>
      <c r="J51" s="87">
        <v>2000</v>
      </c>
      <c r="K51" s="87">
        <v>2226</v>
      </c>
      <c r="L51" s="87">
        <v>1995</v>
      </c>
      <c r="M51" s="87">
        <v>1722</v>
      </c>
      <c r="N51" s="87">
        <v>1726</v>
      </c>
      <c r="O51" s="87">
        <v>1659</v>
      </c>
      <c r="P51" s="87">
        <v>1211</v>
      </c>
      <c r="Q51" s="86">
        <v>761</v>
      </c>
      <c r="R51" s="86">
        <v>541</v>
      </c>
      <c r="S51" s="86">
        <v>377</v>
      </c>
      <c r="T51" s="86">
        <v>270</v>
      </c>
      <c r="U51" s="86">
        <v>166</v>
      </c>
      <c r="V51" s="86">
        <v>58</v>
      </c>
      <c r="W51" s="87">
        <f t="shared" si="25"/>
        <v>16566</v>
      </c>
      <c r="X51" s="89">
        <f>D51+E51</f>
        <v>21081</v>
      </c>
    </row>
    <row r="52" spans="2:24" ht="15" thickBot="1" x14ac:dyDescent="0.35">
      <c r="B52" s="83" t="s">
        <v>76</v>
      </c>
      <c r="C52" s="84" t="s">
        <v>114</v>
      </c>
      <c r="D52" s="90">
        <f t="shared" ref="D52:I52" si="27">SUM(D31:D51)</f>
        <v>1348904</v>
      </c>
      <c r="E52" s="90">
        <f t="shared" si="27"/>
        <v>1198148</v>
      </c>
      <c r="F52" s="91">
        <f t="shared" si="27"/>
        <v>1204622.8149999997</v>
      </c>
      <c r="G52" s="91">
        <f t="shared" si="27"/>
        <v>1040444.8179999999</v>
      </c>
      <c r="H52" s="91">
        <f t="shared" si="27"/>
        <v>301984.36699999997</v>
      </c>
      <c r="I52" s="90">
        <f t="shared" si="27"/>
        <v>169209</v>
      </c>
      <c r="J52" s="90">
        <f t="shared" ref="J52:X52" si="28">SUM(J31:J51)</f>
        <v>177689</v>
      </c>
      <c r="K52" s="90">
        <f t="shared" si="28"/>
        <v>196871</v>
      </c>
      <c r="L52" s="90">
        <f t="shared" si="28"/>
        <v>210786</v>
      </c>
      <c r="M52" s="90">
        <f t="shared" si="28"/>
        <v>195486</v>
      </c>
      <c r="N52" s="90">
        <f t="shared" si="28"/>
        <v>173041</v>
      </c>
      <c r="O52" s="90">
        <f t="shared" si="28"/>
        <v>155592</v>
      </c>
      <c r="P52" s="90">
        <f t="shared" si="28"/>
        <v>183862</v>
      </c>
      <c r="Q52" s="90">
        <f t="shared" si="28"/>
        <v>187023</v>
      </c>
      <c r="R52" s="90">
        <f t="shared" si="28"/>
        <v>157030</v>
      </c>
      <c r="S52" s="90">
        <f t="shared" si="28"/>
        <v>117077</v>
      </c>
      <c r="T52" s="90">
        <f t="shared" si="28"/>
        <v>84237</v>
      </c>
      <c r="U52" s="90">
        <f t="shared" si="28"/>
        <v>49533</v>
      </c>
      <c r="V52" s="90">
        <f t="shared" si="28"/>
        <v>54312</v>
      </c>
      <c r="W52" s="90">
        <f t="shared" si="28"/>
        <v>2111748</v>
      </c>
      <c r="X52" s="92">
        <f t="shared" si="28"/>
        <v>2547052</v>
      </c>
    </row>
    <row r="53" spans="2:24" x14ac:dyDescent="0.3">
      <c r="D53" s="81">
        <f>SUM(D52:E52)</f>
        <v>2547052</v>
      </c>
      <c r="F53" s="82">
        <f>SUM(F52:H52)</f>
        <v>2547051.9999999995</v>
      </c>
      <c r="I53" s="81">
        <f>SUM(I52:V52)</f>
        <v>2111748</v>
      </c>
    </row>
    <row r="54" spans="2:24" x14ac:dyDescent="0.3">
      <c r="F54" s="107">
        <f>+F52/F53</f>
        <v>0.47294786875179617</v>
      </c>
      <c r="G54" s="107">
        <f>+G52/F53</f>
        <v>0.4084898219588764</v>
      </c>
      <c r="H54" s="107">
        <f>+H52/F53</f>
        <v>0.11856230928932744</v>
      </c>
    </row>
    <row r="55" spans="2:24" ht="15" thickBot="1" x14ac:dyDescent="0.35"/>
    <row r="56" spans="2:24" ht="16.2" thickBot="1" x14ac:dyDescent="0.35">
      <c r="B56" s="119" t="s">
        <v>18</v>
      </c>
      <c r="C56" s="120"/>
      <c r="D56" s="116" t="s">
        <v>8</v>
      </c>
      <c r="E56" s="120"/>
      <c r="F56" s="116" t="s">
        <v>6</v>
      </c>
      <c r="G56" s="117"/>
      <c r="H56" s="120"/>
      <c r="I56" s="116" t="s">
        <v>77</v>
      </c>
      <c r="J56" s="117"/>
      <c r="K56" s="117"/>
      <c r="L56" s="117"/>
      <c r="M56" s="117"/>
      <c r="N56" s="117"/>
      <c r="O56" s="118"/>
    </row>
    <row r="57" spans="2:24" x14ac:dyDescent="0.3">
      <c r="B57" s="104" t="s">
        <v>41</v>
      </c>
      <c r="C57" s="105" t="s">
        <v>19</v>
      </c>
      <c r="D57" s="105" t="s">
        <v>1</v>
      </c>
      <c r="E57" s="105" t="s">
        <v>2</v>
      </c>
      <c r="F57" s="105" t="s">
        <v>3</v>
      </c>
      <c r="G57" s="105" t="s">
        <v>4</v>
      </c>
      <c r="H57" s="105" t="s">
        <v>5</v>
      </c>
      <c r="I57" s="105" t="s">
        <v>103</v>
      </c>
      <c r="J57" s="105" t="s">
        <v>104</v>
      </c>
      <c r="K57" s="105" t="s">
        <v>105</v>
      </c>
      <c r="L57" s="105" t="s">
        <v>106</v>
      </c>
      <c r="M57" s="105" t="s">
        <v>107</v>
      </c>
      <c r="N57" s="105" t="s">
        <v>108</v>
      </c>
      <c r="O57" s="106" t="s">
        <v>109</v>
      </c>
    </row>
    <row r="58" spans="2:24" x14ac:dyDescent="0.3">
      <c r="B58" s="69" t="s">
        <v>42</v>
      </c>
      <c r="C58" s="5" t="s">
        <v>20</v>
      </c>
      <c r="D58" s="22">
        <v>52.72640811581951</v>
      </c>
      <c r="E58" s="22">
        <v>47.27359188418049</v>
      </c>
      <c r="F58" s="6">
        <v>100</v>
      </c>
      <c r="G58" s="5">
        <v>0</v>
      </c>
      <c r="H58" s="5">
        <v>0</v>
      </c>
      <c r="I58" s="7">
        <f>I3+J3</f>
        <v>0.21747653678950149</v>
      </c>
      <c r="J58" s="7">
        <f>K3+L3</f>
        <v>0.21632876934953074</v>
      </c>
      <c r="K58" s="7">
        <f>M3+N3</f>
        <v>0.17862511680819079</v>
      </c>
      <c r="L58" s="7">
        <f>O3+P3</f>
        <v>0.15870678096940641</v>
      </c>
      <c r="M58" s="7">
        <f>Q3+R3</f>
        <v>0.13143460772762361</v>
      </c>
      <c r="N58" s="7">
        <f>S3+T3</f>
        <v>6.4549221955876979E-2</v>
      </c>
      <c r="O58" s="8">
        <f>U3+V3</f>
        <v>3.2878966399869987E-2</v>
      </c>
      <c r="P58" s="79">
        <f>SUM(I58:O58)</f>
        <v>1</v>
      </c>
    </row>
    <row r="59" spans="2:24" x14ac:dyDescent="0.3">
      <c r="B59" s="69" t="s">
        <v>43</v>
      </c>
      <c r="C59" s="5" t="s">
        <v>21</v>
      </c>
      <c r="D59" s="22">
        <v>52.904334038054969</v>
      </c>
      <c r="E59" s="22">
        <v>47.095665961945031</v>
      </c>
      <c r="F59" s="5">
        <v>100</v>
      </c>
      <c r="G59" s="5">
        <v>0</v>
      </c>
      <c r="H59" s="5">
        <v>0</v>
      </c>
      <c r="I59" s="7">
        <f t="shared" ref="I59:I78" si="29">I4+J4</f>
        <v>0.19974808796495924</v>
      </c>
      <c r="J59" s="7">
        <f t="shared" ref="J59:J79" si="30">K4+L4</f>
        <v>0.21491954701223248</v>
      </c>
      <c r="K59" s="7">
        <f t="shared" ref="K59:K79" si="31">M4+N4</f>
        <v>0.17598665547057624</v>
      </c>
      <c r="L59" s="7">
        <f t="shared" ref="L59:L79" si="32">O4+P4</f>
        <v>0.15510745977350612</v>
      </c>
      <c r="M59" s="7">
        <f t="shared" ref="M59:M79" si="33">Q4+R4</f>
        <v>0.14444091414565507</v>
      </c>
      <c r="N59" s="7">
        <f t="shared" ref="N59:N79" si="34">S4+T4</f>
        <v>7.2214783378344638E-2</v>
      </c>
      <c r="O59" s="8">
        <f t="shared" ref="O59:O79" si="35">U4+V4</f>
        <v>3.758255225472619E-2</v>
      </c>
      <c r="P59" s="79">
        <f t="shared" ref="P59:P78" si="36">SUM(I59:O59)</f>
        <v>1</v>
      </c>
    </row>
    <row r="60" spans="2:24" x14ac:dyDescent="0.3">
      <c r="B60" s="69" t="s">
        <v>44</v>
      </c>
      <c r="C60" s="5" t="s">
        <v>22</v>
      </c>
      <c r="D60" s="22">
        <v>52.007710594060633</v>
      </c>
      <c r="E60" s="22">
        <v>47.992289405939374</v>
      </c>
      <c r="F60" s="5">
        <v>85.1</v>
      </c>
      <c r="G60" s="5">
        <v>14.9</v>
      </c>
      <c r="H60" s="5">
        <v>0</v>
      </c>
      <c r="I60" s="7">
        <f t="shared" si="29"/>
        <v>0.18244925501632681</v>
      </c>
      <c r="J60" s="7">
        <f t="shared" si="30"/>
        <v>0.2045156636598438</v>
      </c>
      <c r="K60" s="7">
        <f t="shared" si="31"/>
        <v>0.16460997913580341</v>
      </c>
      <c r="L60" s="7">
        <f t="shared" si="32"/>
        <v>0.16672742362075249</v>
      </c>
      <c r="M60" s="7">
        <f t="shared" si="33"/>
        <v>0.16454017327366224</v>
      </c>
      <c r="N60" s="7">
        <f t="shared" si="34"/>
        <v>7.9733806979034968E-2</v>
      </c>
      <c r="O60" s="8">
        <f t="shared" si="35"/>
        <v>3.7423698314576238E-2</v>
      </c>
      <c r="P60" s="79">
        <f t="shared" si="36"/>
        <v>0.99999999999999989</v>
      </c>
    </row>
    <row r="61" spans="2:24" x14ac:dyDescent="0.3">
      <c r="B61" s="69" t="s">
        <v>45</v>
      </c>
      <c r="C61" s="5" t="s">
        <v>23</v>
      </c>
      <c r="D61" s="22">
        <v>52.287921511539004</v>
      </c>
      <c r="E61" s="22">
        <v>47.712078488460996</v>
      </c>
      <c r="F61" s="5">
        <v>43.8</v>
      </c>
      <c r="G61" s="5">
        <v>56.2</v>
      </c>
      <c r="H61" s="5">
        <v>0</v>
      </c>
      <c r="I61" s="7">
        <f t="shared" si="29"/>
        <v>0.16631815626756605</v>
      </c>
      <c r="J61" s="7">
        <f t="shared" si="30"/>
        <v>0.19950534007869591</v>
      </c>
      <c r="K61" s="7">
        <f t="shared" si="31"/>
        <v>0.17432265317594153</v>
      </c>
      <c r="L61" s="7">
        <f t="shared" si="32"/>
        <v>0.16368746486790331</v>
      </c>
      <c r="M61" s="7">
        <f t="shared" si="33"/>
        <v>0.16391231028667791</v>
      </c>
      <c r="N61" s="7">
        <f t="shared" si="34"/>
        <v>8.9503466366872772E-2</v>
      </c>
      <c r="O61" s="8">
        <f t="shared" si="35"/>
        <v>4.2750608956342515E-2</v>
      </c>
      <c r="P61" s="79">
        <f t="shared" si="36"/>
        <v>1</v>
      </c>
    </row>
    <row r="62" spans="2:24" x14ac:dyDescent="0.3">
      <c r="B62" s="69" t="s">
        <v>46</v>
      </c>
      <c r="C62" s="5" t="s">
        <v>24</v>
      </c>
      <c r="D62" s="22">
        <v>52.744342326316826</v>
      </c>
      <c r="E62" s="22">
        <v>47.255657673683174</v>
      </c>
      <c r="F62" s="5">
        <v>15.7</v>
      </c>
      <c r="G62" s="5">
        <v>84.3</v>
      </c>
      <c r="H62" s="5">
        <v>0</v>
      </c>
      <c r="I62" s="7">
        <f t="shared" si="29"/>
        <v>0.13878466113437854</v>
      </c>
      <c r="J62" s="7">
        <f t="shared" si="30"/>
        <v>0.18635663018262777</v>
      </c>
      <c r="K62" s="7">
        <f t="shared" si="31"/>
        <v>0.15988883526133055</v>
      </c>
      <c r="L62" s="7">
        <f t="shared" si="32"/>
        <v>0.18160021174235935</v>
      </c>
      <c r="M62" s="7">
        <f t="shared" si="33"/>
        <v>0.18835728409285526</v>
      </c>
      <c r="N62" s="7">
        <f t="shared" si="34"/>
        <v>9.9744663625465135E-2</v>
      </c>
      <c r="O62" s="8">
        <f t="shared" si="35"/>
        <v>4.5267713960983356E-2</v>
      </c>
      <c r="P62" s="79">
        <f t="shared" si="36"/>
        <v>1</v>
      </c>
    </row>
    <row r="63" spans="2:24" x14ac:dyDescent="0.3">
      <c r="B63" s="69" t="s">
        <v>47</v>
      </c>
      <c r="C63" s="5" t="s">
        <v>25</v>
      </c>
      <c r="D63" s="22">
        <v>52.644535240040859</v>
      </c>
      <c r="E63" s="22">
        <v>47.355464759959141</v>
      </c>
      <c r="F63" s="5">
        <v>73.900000000000006</v>
      </c>
      <c r="G63" s="5">
        <v>26.1</v>
      </c>
      <c r="H63" s="5">
        <v>0</v>
      </c>
      <c r="I63" s="7">
        <f t="shared" si="29"/>
        <v>0.16487241080074957</v>
      </c>
      <c r="J63" s="7">
        <f t="shared" si="30"/>
        <v>0.19238992366028196</v>
      </c>
      <c r="K63" s="7">
        <f t="shared" si="31"/>
        <v>0.16014362431300544</v>
      </c>
      <c r="L63" s="7">
        <f t="shared" si="32"/>
        <v>0.17475129852980015</v>
      </c>
      <c r="M63" s="7">
        <f t="shared" si="33"/>
        <v>0.17343075974997799</v>
      </c>
      <c r="N63" s="7">
        <f t="shared" si="34"/>
        <v>9.1268094525423518E-2</v>
      </c>
      <c r="O63" s="8">
        <f t="shared" si="35"/>
        <v>4.3143888420761389E-2</v>
      </c>
      <c r="P63" s="79">
        <f t="shared" si="36"/>
        <v>1</v>
      </c>
    </row>
    <row r="64" spans="2:24" x14ac:dyDescent="0.3">
      <c r="B64" s="69" t="s">
        <v>48</v>
      </c>
      <c r="C64" s="5" t="s">
        <v>26</v>
      </c>
      <c r="D64" s="22">
        <v>51.820953915194757</v>
      </c>
      <c r="E64" s="22">
        <v>48.17904608480525</v>
      </c>
      <c r="F64" s="5">
        <v>56</v>
      </c>
      <c r="G64" s="5">
        <v>41.7</v>
      </c>
      <c r="H64" s="5">
        <v>2.2999999999999998</v>
      </c>
      <c r="I64" s="7">
        <f t="shared" si="29"/>
        <v>0.16959942428918395</v>
      </c>
      <c r="J64" s="7">
        <f t="shared" si="30"/>
        <v>0.20190704207809462</v>
      </c>
      <c r="K64" s="7">
        <f t="shared" si="31"/>
        <v>0.16933647944532476</v>
      </c>
      <c r="L64" s="7">
        <f t="shared" si="32"/>
        <v>0.15980818865600588</v>
      </c>
      <c r="M64" s="7">
        <f t="shared" si="33"/>
        <v>0.16553761841167475</v>
      </c>
      <c r="N64" s="7">
        <f t="shared" si="34"/>
        <v>9.2480469425742298E-2</v>
      </c>
      <c r="O64" s="8">
        <f t="shared" si="35"/>
        <v>4.1330777693973718E-2</v>
      </c>
      <c r="P64" s="79">
        <f t="shared" si="36"/>
        <v>1</v>
      </c>
    </row>
    <row r="65" spans="2:16" x14ac:dyDescent="0.3">
      <c r="B65" s="69" t="s">
        <v>49</v>
      </c>
      <c r="C65" s="5" t="s">
        <v>27</v>
      </c>
      <c r="D65" s="22">
        <v>51.888625235674915</v>
      </c>
      <c r="E65" s="22">
        <v>48.111374764325092</v>
      </c>
      <c r="F65" s="5">
        <v>72.900000000000006</v>
      </c>
      <c r="G65" s="5">
        <v>27.1</v>
      </c>
      <c r="H65" s="5">
        <v>0</v>
      </c>
      <c r="I65" s="7">
        <f t="shared" si="29"/>
        <v>0.20661437237688543</v>
      </c>
      <c r="J65" s="7">
        <f t="shared" si="30"/>
        <v>0.22408042079797666</v>
      </c>
      <c r="K65" s="7">
        <f t="shared" si="31"/>
        <v>0.17980133057199935</v>
      </c>
      <c r="L65" s="7">
        <f t="shared" si="32"/>
        <v>0.13895863497241723</v>
      </c>
      <c r="M65" s="7">
        <f t="shared" si="33"/>
        <v>0.13336876638014772</v>
      </c>
      <c r="N65" s="7">
        <f t="shared" si="34"/>
        <v>7.6544544838077086E-2</v>
      </c>
      <c r="O65" s="8">
        <f t="shared" si="35"/>
        <v>4.063193006249656E-2</v>
      </c>
      <c r="P65" s="79">
        <f t="shared" si="36"/>
        <v>1</v>
      </c>
    </row>
    <row r="66" spans="2:16" x14ac:dyDescent="0.3">
      <c r="B66" s="69" t="s">
        <v>50</v>
      </c>
      <c r="C66" s="5" t="s">
        <v>28</v>
      </c>
      <c r="D66" s="22">
        <v>52.90121750767306</v>
      </c>
      <c r="E66" s="22">
        <v>47.09878249232694</v>
      </c>
      <c r="F66" s="5">
        <v>28.1</v>
      </c>
      <c r="G66" s="5">
        <v>70.2</v>
      </c>
      <c r="H66" s="5">
        <v>1.7</v>
      </c>
      <c r="I66" s="7">
        <f t="shared" si="29"/>
        <v>0.14621542377107677</v>
      </c>
      <c r="J66" s="7">
        <f t="shared" si="30"/>
        <v>0.18864842090781681</v>
      </c>
      <c r="K66" s="7">
        <f t="shared" si="31"/>
        <v>0.16778875504079932</v>
      </c>
      <c r="L66" s="7">
        <f t="shared" si="32"/>
        <v>0.16166670965855839</v>
      </c>
      <c r="M66" s="7">
        <f t="shared" si="33"/>
        <v>0.18303367984798066</v>
      </c>
      <c r="N66" s="7">
        <f t="shared" si="34"/>
        <v>0.10061822340306617</v>
      </c>
      <c r="O66" s="8">
        <f t="shared" si="35"/>
        <v>5.2028787370701886E-2</v>
      </c>
      <c r="P66" s="79">
        <f t="shared" si="36"/>
        <v>1</v>
      </c>
    </row>
    <row r="67" spans="2:16" x14ac:dyDescent="0.3">
      <c r="B67" s="69" t="s">
        <v>51</v>
      </c>
      <c r="C67" s="5" t="s">
        <v>29</v>
      </c>
      <c r="D67" s="22">
        <v>51.333014699882263</v>
      </c>
      <c r="E67" s="22">
        <v>48.666985300117737</v>
      </c>
      <c r="F67" s="5">
        <v>6.9</v>
      </c>
      <c r="G67" s="5">
        <v>89.3</v>
      </c>
      <c r="H67" s="5">
        <v>3.8</v>
      </c>
      <c r="I67" s="7">
        <f t="shared" si="29"/>
        <v>0.11128987590499677</v>
      </c>
      <c r="J67" s="7">
        <f t="shared" si="30"/>
        <v>0.16342032731540704</v>
      </c>
      <c r="K67" s="7">
        <f t="shared" si="31"/>
        <v>0.18333355312611271</v>
      </c>
      <c r="L67" s="7">
        <f t="shared" si="32"/>
        <v>0.15620672829656201</v>
      </c>
      <c r="M67" s="7">
        <f t="shared" si="33"/>
        <v>0.18328080285906448</v>
      </c>
      <c r="N67" s="7">
        <f t="shared" si="34"/>
        <v>0.12753695815585067</v>
      </c>
      <c r="O67" s="8">
        <f t="shared" si="35"/>
        <v>7.4931754342006357E-2</v>
      </c>
      <c r="P67" s="79">
        <f t="shared" si="36"/>
        <v>1</v>
      </c>
    </row>
    <row r="68" spans="2:16" x14ac:dyDescent="0.3">
      <c r="B68" s="69" t="s">
        <v>52</v>
      </c>
      <c r="C68" s="5" t="s">
        <v>30</v>
      </c>
      <c r="D68" s="22">
        <v>56.456549092827856</v>
      </c>
      <c r="E68" s="22">
        <v>43.543450907172137</v>
      </c>
      <c r="F68" s="5">
        <v>0</v>
      </c>
      <c r="G68" s="5">
        <v>34.5</v>
      </c>
      <c r="H68" s="5">
        <v>65.5</v>
      </c>
      <c r="I68" s="7">
        <f t="shared" si="29"/>
        <v>8.7533765293691848E-2</v>
      </c>
      <c r="J68" s="7">
        <f t="shared" si="30"/>
        <v>0.13438145512967639</v>
      </c>
      <c r="K68" s="7">
        <f t="shared" si="31"/>
        <v>0.15994597553009304</v>
      </c>
      <c r="L68" s="7">
        <f t="shared" si="32"/>
        <v>0.14034886389717696</v>
      </c>
      <c r="M68" s="7">
        <f t="shared" si="33"/>
        <v>0.20339506717748629</v>
      </c>
      <c r="N68" s="7">
        <f t="shared" si="34"/>
        <v>0.1684821948765029</v>
      </c>
      <c r="O68" s="8">
        <f t="shared" si="35"/>
        <v>0.10591267809537261</v>
      </c>
      <c r="P68" s="79">
        <f t="shared" si="36"/>
        <v>1</v>
      </c>
    </row>
    <row r="69" spans="2:16" x14ac:dyDescent="0.3">
      <c r="B69" s="69" t="s">
        <v>53</v>
      </c>
      <c r="C69" s="5" t="s">
        <v>31</v>
      </c>
      <c r="D69" s="22">
        <v>55.689175739043883</v>
      </c>
      <c r="E69" s="22">
        <v>44.310824260956117</v>
      </c>
      <c r="F69" s="5">
        <v>2.1</v>
      </c>
      <c r="G69" s="5">
        <v>70.099999999999994</v>
      </c>
      <c r="H69" s="5">
        <v>27.8</v>
      </c>
      <c r="I69" s="7">
        <f t="shared" si="29"/>
        <v>8.8871284477372137E-2</v>
      </c>
      <c r="J69" s="7">
        <f t="shared" si="30"/>
        <v>0.13354681781665625</v>
      </c>
      <c r="K69" s="7">
        <f t="shared" si="31"/>
        <v>0.14323172364545211</v>
      </c>
      <c r="L69" s="7">
        <f t="shared" si="32"/>
        <v>0.15013835579755425</v>
      </c>
      <c r="M69" s="7">
        <f t="shared" si="33"/>
        <v>0.22694813889136839</v>
      </c>
      <c r="N69" s="7">
        <f t="shared" si="34"/>
        <v>0.16572569847362312</v>
      </c>
      <c r="O69" s="8">
        <f t="shared" si="35"/>
        <v>9.153798089797377E-2</v>
      </c>
      <c r="P69" s="79">
        <f t="shared" si="36"/>
        <v>0.99999999999999978</v>
      </c>
    </row>
    <row r="70" spans="2:16" x14ac:dyDescent="0.3">
      <c r="B70" s="69" t="s">
        <v>54</v>
      </c>
      <c r="C70" s="5" t="s">
        <v>32</v>
      </c>
      <c r="D70" s="22">
        <v>51.900424842637719</v>
      </c>
      <c r="E70" s="22">
        <v>48.099575157362281</v>
      </c>
      <c r="F70" s="5">
        <v>71.5</v>
      </c>
      <c r="G70" s="5">
        <v>28.5</v>
      </c>
      <c r="H70" s="5">
        <v>0</v>
      </c>
      <c r="I70" s="7">
        <f t="shared" si="29"/>
        <v>0.21566299435808228</v>
      </c>
      <c r="J70" s="7">
        <f t="shared" si="30"/>
        <v>0.21642690817387783</v>
      </c>
      <c r="K70" s="7">
        <f t="shared" si="31"/>
        <v>0.18906406751893678</v>
      </c>
      <c r="L70" s="7">
        <f t="shared" si="32"/>
        <v>0.15183477372504625</v>
      </c>
      <c r="M70" s="7">
        <f t="shared" si="33"/>
        <v>0.1276380337042457</v>
      </c>
      <c r="N70" s="7">
        <f t="shared" si="34"/>
        <v>6.5356048264627112E-2</v>
      </c>
      <c r="O70" s="8">
        <f t="shared" si="35"/>
        <v>3.4017174255184031E-2</v>
      </c>
      <c r="P70" s="79">
        <f t="shared" si="36"/>
        <v>1</v>
      </c>
    </row>
    <row r="71" spans="2:16" x14ac:dyDescent="0.3">
      <c r="B71" s="69" t="s">
        <v>55</v>
      </c>
      <c r="C71" s="5" t="s">
        <v>33</v>
      </c>
      <c r="D71" s="22">
        <v>54.85375222323524</v>
      </c>
      <c r="E71" s="22">
        <v>45.146247776764767</v>
      </c>
      <c r="F71" s="5">
        <v>1.5</v>
      </c>
      <c r="G71" s="5">
        <v>5.9</v>
      </c>
      <c r="H71" s="5">
        <v>92.6</v>
      </c>
      <c r="I71" s="7">
        <f t="shared" si="29"/>
        <v>9.0507834131404924E-2</v>
      </c>
      <c r="J71" s="7">
        <f t="shared" si="30"/>
        <v>0.13538714616111275</v>
      </c>
      <c r="K71" s="7">
        <f t="shared" si="31"/>
        <v>0.16043682204632073</v>
      </c>
      <c r="L71" s="7">
        <f t="shared" si="32"/>
        <v>0.17534773119645591</v>
      </c>
      <c r="M71" s="7">
        <f t="shared" si="33"/>
        <v>0.22288185282908238</v>
      </c>
      <c r="N71" s="7">
        <f t="shared" si="34"/>
        <v>0.14062347307729894</v>
      </c>
      <c r="O71" s="8">
        <f t="shared" si="35"/>
        <v>7.4815140558324375E-2</v>
      </c>
      <c r="P71" s="79">
        <f t="shared" si="36"/>
        <v>1</v>
      </c>
    </row>
    <row r="72" spans="2:16" x14ac:dyDescent="0.3">
      <c r="B72" s="69" t="s">
        <v>56</v>
      </c>
      <c r="C72" s="5" t="s">
        <v>34</v>
      </c>
      <c r="D72" s="22">
        <v>52.943562646918096</v>
      </c>
      <c r="E72" s="22">
        <v>47.056437353081897</v>
      </c>
      <c r="F72" s="5">
        <v>21.4</v>
      </c>
      <c r="G72" s="5">
        <v>78.599999999999994</v>
      </c>
      <c r="H72" s="5">
        <v>0</v>
      </c>
      <c r="I72" s="7">
        <f t="shared" si="29"/>
        <v>0.12724160222184977</v>
      </c>
      <c r="J72" s="7">
        <f t="shared" si="30"/>
        <v>0.1740608614456389</v>
      </c>
      <c r="K72" s="7">
        <f t="shared" si="31"/>
        <v>0.16137141762635573</v>
      </c>
      <c r="L72" s="7">
        <f t="shared" si="32"/>
        <v>0.161550985227572</v>
      </c>
      <c r="M72" s="7">
        <f t="shared" si="33"/>
        <v>0.18607991955371467</v>
      </c>
      <c r="N72" s="7">
        <f t="shared" si="34"/>
        <v>0.12405727009361457</v>
      </c>
      <c r="O72" s="8">
        <f t="shared" si="35"/>
        <v>6.5637943831254347E-2</v>
      </c>
      <c r="P72" s="79">
        <f t="shared" si="36"/>
        <v>1</v>
      </c>
    </row>
    <row r="73" spans="2:16" x14ac:dyDescent="0.3">
      <c r="B73" s="69" t="s">
        <v>57</v>
      </c>
      <c r="C73" s="5" t="s">
        <v>35</v>
      </c>
      <c r="D73" s="22">
        <v>54.279250783175513</v>
      </c>
      <c r="E73" s="22">
        <v>45.72074921682448</v>
      </c>
      <c r="F73" s="5">
        <v>11.8</v>
      </c>
      <c r="G73" s="5">
        <v>62.7</v>
      </c>
      <c r="H73" s="5">
        <v>25.5</v>
      </c>
      <c r="I73" s="7">
        <f t="shared" si="29"/>
        <v>0.14331230784605348</v>
      </c>
      <c r="J73" s="7">
        <f t="shared" si="30"/>
        <v>0.17655530800477337</v>
      </c>
      <c r="K73" s="7">
        <f t="shared" si="31"/>
        <v>0.1644749604669892</v>
      </c>
      <c r="L73" s="7">
        <f t="shared" si="32"/>
        <v>0.1511248537719489</v>
      </c>
      <c r="M73" s="7">
        <f t="shared" si="33"/>
        <v>0.18882964652491607</v>
      </c>
      <c r="N73" s="7">
        <f t="shared" si="34"/>
        <v>0.1164004679297635</v>
      </c>
      <c r="O73" s="8">
        <f t="shared" si="35"/>
        <v>5.9302455455555486E-2</v>
      </c>
      <c r="P73" s="79">
        <f t="shared" si="36"/>
        <v>1</v>
      </c>
    </row>
    <row r="74" spans="2:16" x14ac:dyDescent="0.3">
      <c r="B74" s="69" t="s">
        <v>58</v>
      </c>
      <c r="C74" s="5" t="s">
        <v>36</v>
      </c>
      <c r="D74" s="22">
        <v>52.947947307839883</v>
      </c>
      <c r="E74" s="22">
        <v>47.052052692160125</v>
      </c>
      <c r="F74" s="5">
        <v>96</v>
      </c>
      <c r="G74" s="5">
        <v>4</v>
      </c>
      <c r="H74" s="5">
        <v>0</v>
      </c>
      <c r="I74" s="7">
        <f t="shared" si="29"/>
        <v>0.22327573023398073</v>
      </c>
      <c r="J74" s="7">
        <f t="shared" si="30"/>
        <v>0.20706530050466432</v>
      </c>
      <c r="K74" s="7">
        <f t="shared" si="31"/>
        <v>0.19177244226946016</v>
      </c>
      <c r="L74" s="7">
        <f t="shared" si="32"/>
        <v>0.20079522862823063</v>
      </c>
      <c r="M74" s="7">
        <f t="shared" si="33"/>
        <v>0.10536779324055665</v>
      </c>
      <c r="N74" s="7">
        <f t="shared" si="34"/>
        <v>5.1842789417342099E-2</v>
      </c>
      <c r="O74" s="8">
        <f t="shared" si="35"/>
        <v>1.9880715705765408E-2</v>
      </c>
      <c r="P74" s="79">
        <f t="shared" si="36"/>
        <v>1</v>
      </c>
    </row>
    <row r="75" spans="2:16" x14ac:dyDescent="0.3">
      <c r="B75" s="69" t="s">
        <v>59</v>
      </c>
      <c r="C75" s="5" t="s">
        <v>37</v>
      </c>
      <c r="D75" s="22">
        <v>52.543476414693757</v>
      </c>
      <c r="E75" s="22">
        <v>47.45652358530625</v>
      </c>
      <c r="F75" s="5">
        <v>71.5</v>
      </c>
      <c r="G75" s="5">
        <v>28.4</v>
      </c>
      <c r="H75" s="5">
        <v>0.1</v>
      </c>
      <c r="I75" s="7">
        <f t="shared" si="29"/>
        <v>0.24486365334329474</v>
      </c>
      <c r="J75" s="7">
        <f t="shared" si="30"/>
        <v>0.24768864400448262</v>
      </c>
      <c r="K75" s="7">
        <f t="shared" si="31"/>
        <v>0.22692146059021293</v>
      </c>
      <c r="L75" s="7">
        <f t="shared" si="32"/>
        <v>0.16421133731789317</v>
      </c>
      <c r="M75" s="7">
        <f t="shared" si="33"/>
        <v>7.2725999252895024E-2</v>
      </c>
      <c r="N75" s="7">
        <f t="shared" si="34"/>
        <v>2.9557340306313039E-2</v>
      </c>
      <c r="O75" s="8">
        <f t="shared" si="35"/>
        <v>1.403156518490848E-2</v>
      </c>
      <c r="P75" s="79">
        <f t="shared" si="36"/>
        <v>1</v>
      </c>
    </row>
    <row r="76" spans="2:16" x14ac:dyDescent="0.3">
      <c r="B76" s="69" t="s">
        <v>60</v>
      </c>
      <c r="C76" s="5" t="s">
        <v>38</v>
      </c>
      <c r="D76" s="22">
        <v>52.23289579819609</v>
      </c>
      <c r="E76" s="22">
        <v>47.767104201803917</v>
      </c>
      <c r="F76" s="5">
        <v>64.2</v>
      </c>
      <c r="G76" s="5">
        <v>17.600000000000001</v>
      </c>
      <c r="H76" s="5">
        <v>18.2</v>
      </c>
      <c r="I76" s="7">
        <f t="shared" si="29"/>
        <v>0.25401683244070389</v>
      </c>
      <c r="J76" s="7">
        <f t="shared" si="30"/>
        <v>0.251657740372354</v>
      </c>
      <c r="K76" s="7">
        <f t="shared" si="31"/>
        <v>0.22130833970925784</v>
      </c>
      <c r="L76" s="7">
        <f t="shared" si="32"/>
        <v>0.16099209385360877</v>
      </c>
      <c r="M76" s="7">
        <f t="shared" si="33"/>
        <v>6.4078041315990819E-2</v>
      </c>
      <c r="N76" s="7">
        <f t="shared" si="34"/>
        <v>3.2485335373629173E-2</v>
      </c>
      <c r="O76" s="8">
        <f t="shared" si="35"/>
        <v>1.5461616934455497E-2</v>
      </c>
      <c r="P76" s="79">
        <f t="shared" si="36"/>
        <v>1</v>
      </c>
    </row>
    <row r="77" spans="2:16" x14ac:dyDescent="0.3">
      <c r="B77" s="69" t="s">
        <v>61</v>
      </c>
      <c r="C77" s="5" t="s">
        <v>39</v>
      </c>
      <c r="D77" s="22">
        <v>52.306291325177177</v>
      </c>
      <c r="E77" s="22">
        <v>47.693708674822823</v>
      </c>
      <c r="F77" s="5">
        <v>49.3</v>
      </c>
      <c r="G77" s="5">
        <v>50.2</v>
      </c>
      <c r="H77" s="5">
        <v>0.5</v>
      </c>
      <c r="I77" s="7">
        <f t="shared" si="29"/>
        <v>0.23593035179050326</v>
      </c>
      <c r="J77" s="7">
        <f t="shared" si="30"/>
        <v>0.24985210601041175</v>
      </c>
      <c r="K77" s="7">
        <f t="shared" si="31"/>
        <v>0.23361334595362043</v>
      </c>
      <c r="L77" s="7">
        <f t="shared" si="32"/>
        <v>0.16675540306041964</v>
      </c>
      <c r="M77" s="7">
        <f t="shared" si="33"/>
        <v>7.2438476100331273E-2</v>
      </c>
      <c r="N77" s="7">
        <f t="shared" si="34"/>
        <v>2.904637955513488E-2</v>
      </c>
      <c r="O77" s="8">
        <f t="shared" si="35"/>
        <v>1.2363937529578798E-2</v>
      </c>
      <c r="P77" s="79">
        <f t="shared" si="36"/>
        <v>1</v>
      </c>
    </row>
    <row r="78" spans="2:16" ht="15" thickBot="1" x14ac:dyDescent="0.35">
      <c r="B78" s="85" t="s">
        <v>62</v>
      </c>
      <c r="C78" s="86" t="s">
        <v>40</v>
      </c>
      <c r="D78" s="98">
        <v>52.312508894264973</v>
      </c>
      <c r="E78" s="98">
        <v>47.687491105735027</v>
      </c>
      <c r="F78" s="86">
        <v>77.5</v>
      </c>
      <c r="G78" s="86">
        <v>12.4</v>
      </c>
      <c r="H78" s="86">
        <v>10.1</v>
      </c>
      <c r="I78" s="99">
        <f t="shared" si="29"/>
        <v>0.23264517686828445</v>
      </c>
      <c r="J78" s="99">
        <f t="shared" si="30"/>
        <v>0.25479898587468308</v>
      </c>
      <c r="K78" s="99">
        <f t="shared" si="31"/>
        <v>0.20813714837619221</v>
      </c>
      <c r="L78" s="99">
        <f t="shared" si="32"/>
        <v>0.17324640830616928</v>
      </c>
      <c r="M78" s="99">
        <f t="shared" si="33"/>
        <v>7.8594712060847519E-2</v>
      </c>
      <c r="N78" s="99">
        <f t="shared" si="34"/>
        <v>3.9055897621634673E-2</v>
      </c>
      <c r="O78" s="100">
        <f t="shared" si="35"/>
        <v>1.3521670892188821E-2</v>
      </c>
      <c r="P78" s="79">
        <f t="shared" si="36"/>
        <v>1.0000000000000002</v>
      </c>
    </row>
    <row r="79" spans="2:16" ht="15" thickBot="1" x14ac:dyDescent="0.35">
      <c r="B79" s="83" t="s">
        <v>76</v>
      </c>
      <c r="C79" s="84" t="s">
        <v>76</v>
      </c>
      <c r="D79" s="94">
        <v>0.52959421323161049</v>
      </c>
      <c r="E79" s="94">
        <v>0.47040578676838951</v>
      </c>
      <c r="F79" s="94">
        <v>0.47294786875179617</v>
      </c>
      <c r="G79" s="94">
        <v>0.4084898219588764</v>
      </c>
      <c r="H79" s="94">
        <v>0.11856230928932744</v>
      </c>
      <c r="I79" s="94">
        <f>I24+J24</f>
        <v>0.16427054743274294</v>
      </c>
      <c r="J79" s="94">
        <f t="shared" si="30"/>
        <v>0.1930424463525004</v>
      </c>
      <c r="K79" s="94">
        <f t="shared" si="31"/>
        <v>0.17451277330439047</v>
      </c>
      <c r="L79" s="94">
        <f t="shared" si="32"/>
        <v>0.16074550561904166</v>
      </c>
      <c r="M79" s="94">
        <f t="shared" si="33"/>
        <v>0.16292332229034906</v>
      </c>
      <c r="N79" s="94">
        <f t="shared" si="34"/>
        <v>9.5330503450222287E-2</v>
      </c>
      <c r="O79" s="95">
        <f t="shared" si="35"/>
        <v>4.9174901550753214E-2</v>
      </c>
      <c r="P79" s="79">
        <f>SUM(I79:O79)</f>
        <v>1</v>
      </c>
    </row>
  </sheetData>
  <mergeCells count="11">
    <mergeCell ref="I56:O56"/>
    <mergeCell ref="B56:C56"/>
    <mergeCell ref="D56:E56"/>
    <mergeCell ref="F56:H56"/>
    <mergeCell ref="D1:E1"/>
    <mergeCell ref="F1:H1"/>
    <mergeCell ref="I1:V1"/>
    <mergeCell ref="F27:H27"/>
    <mergeCell ref="D29:E29"/>
    <mergeCell ref="F29:H29"/>
    <mergeCell ref="I29:V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820C-3CCA-440E-B385-D7D54827A815}">
  <dimension ref="B2:M46"/>
  <sheetViews>
    <sheetView topLeftCell="A15" zoomScale="77" workbookViewId="0">
      <selection activeCell="L40" sqref="L40"/>
    </sheetView>
  </sheetViews>
  <sheetFormatPr baseColWidth="10" defaultRowHeight="14.4" x14ac:dyDescent="0.3"/>
  <cols>
    <col min="2" max="2" width="13.5546875" customWidth="1"/>
    <col min="3" max="3" width="18" customWidth="1"/>
    <col min="4" max="4" width="17.109375" customWidth="1"/>
    <col min="5" max="5" width="13" customWidth="1"/>
    <col min="12" max="12" width="23.5546875" customWidth="1"/>
    <col min="13" max="13" width="23.44140625" customWidth="1"/>
  </cols>
  <sheetData>
    <row r="2" spans="2:13" ht="15" thickBot="1" x14ac:dyDescent="0.35"/>
    <row r="3" spans="2:13" ht="16.2" thickBot="1" x14ac:dyDescent="0.35">
      <c r="B3" s="35"/>
      <c r="C3" s="36" t="s">
        <v>18</v>
      </c>
      <c r="D3" s="126" t="s">
        <v>87</v>
      </c>
      <c r="E3" s="126"/>
      <c r="F3" s="126"/>
      <c r="G3" s="126"/>
      <c r="H3" s="126"/>
      <c r="I3" s="126"/>
      <c r="J3" s="126"/>
      <c r="K3" s="126"/>
      <c r="L3" s="126"/>
      <c r="M3" s="37" t="s">
        <v>89</v>
      </c>
    </row>
    <row r="4" spans="2:13" x14ac:dyDescent="0.3">
      <c r="B4" s="33" t="s">
        <v>41</v>
      </c>
      <c r="C4" s="17" t="s">
        <v>19</v>
      </c>
      <c r="D4" s="23" t="s">
        <v>90</v>
      </c>
      <c r="E4" s="23" t="s">
        <v>91</v>
      </c>
      <c r="F4" s="23" t="s">
        <v>92</v>
      </c>
      <c r="G4" s="23" t="s">
        <v>93</v>
      </c>
      <c r="H4" s="23" t="s">
        <v>94</v>
      </c>
      <c r="I4" s="23" t="s">
        <v>96</v>
      </c>
      <c r="J4" s="23" t="s">
        <v>97</v>
      </c>
      <c r="K4" s="23" t="s">
        <v>98</v>
      </c>
      <c r="L4" s="23" t="s">
        <v>99</v>
      </c>
      <c r="M4" s="34" t="s">
        <v>88</v>
      </c>
    </row>
    <row r="5" spans="2:13" x14ac:dyDescent="0.3">
      <c r="B5" s="28" t="s">
        <v>42</v>
      </c>
      <c r="C5" s="27" t="s">
        <v>20</v>
      </c>
      <c r="D5" s="24">
        <v>0.28699999999999998</v>
      </c>
      <c r="E5" s="25">
        <v>0.314</v>
      </c>
      <c r="F5" s="25">
        <v>0.14199999999999999</v>
      </c>
      <c r="G5" s="25">
        <v>0.16300000000000001</v>
      </c>
      <c r="H5" s="25">
        <v>5.8999999999999997E-2</v>
      </c>
      <c r="I5" s="25">
        <v>4.0000000000000001E-3</v>
      </c>
      <c r="J5" s="25">
        <v>1.9E-2</v>
      </c>
      <c r="K5" s="25">
        <v>4.0000000000000001E-3</v>
      </c>
      <c r="L5" s="25">
        <v>8.0000000000000002E-3</v>
      </c>
      <c r="M5" s="29">
        <f xml:space="preserve"> D5+E5+H5</f>
        <v>0.65999999999999992</v>
      </c>
    </row>
    <row r="6" spans="2:13" x14ac:dyDescent="0.3">
      <c r="B6" s="28" t="s">
        <v>43</v>
      </c>
      <c r="C6" s="27" t="s">
        <v>21</v>
      </c>
      <c r="D6" s="25">
        <v>0.25600000000000001</v>
      </c>
      <c r="E6" s="25">
        <v>0.3</v>
      </c>
      <c r="F6" s="25">
        <v>0.14599999999999999</v>
      </c>
      <c r="G6" s="25">
        <v>0.185</v>
      </c>
      <c r="H6" s="25">
        <v>7.1999999999999995E-2</v>
      </c>
      <c r="I6" s="25">
        <v>5.0000000000000001E-3</v>
      </c>
      <c r="J6" s="25">
        <v>1.4E-2</v>
      </c>
      <c r="K6" s="25">
        <v>0.01</v>
      </c>
      <c r="L6" s="25">
        <v>1.2E-2</v>
      </c>
      <c r="M6" s="29">
        <f t="shared" ref="M6:M25" si="0" xml:space="preserve"> D6+E6+H6</f>
        <v>0.628</v>
      </c>
    </row>
    <row r="7" spans="2:13" x14ac:dyDescent="0.3">
      <c r="B7" s="28" t="s">
        <v>44</v>
      </c>
      <c r="C7" s="27" t="s">
        <v>22</v>
      </c>
      <c r="D7" s="25">
        <v>0.252</v>
      </c>
      <c r="E7" s="25">
        <v>0.182</v>
      </c>
      <c r="F7" s="25">
        <v>0.21099999999999999</v>
      </c>
      <c r="G7" s="25">
        <v>0.19400000000000001</v>
      </c>
      <c r="H7" s="25">
        <v>0.10299999999999999</v>
      </c>
      <c r="I7" s="25">
        <v>1.4999999999999999E-2</v>
      </c>
      <c r="J7" s="25">
        <v>3.4000000000000002E-2</v>
      </c>
      <c r="K7" s="25">
        <v>6.0000000000000001E-3</v>
      </c>
      <c r="L7" s="25">
        <v>0</v>
      </c>
      <c r="M7" s="29">
        <f t="shared" si="0"/>
        <v>0.53700000000000003</v>
      </c>
    </row>
    <row r="8" spans="2:13" x14ac:dyDescent="0.3">
      <c r="B8" s="28" t="s">
        <v>45</v>
      </c>
      <c r="C8" s="27" t="s">
        <v>23</v>
      </c>
      <c r="D8" s="25">
        <v>0.246</v>
      </c>
      <c r="E8" s="25">
        <v>0.188</v>
      </c>
      <c r="F8" s="25">
        <v>0.17799999999999999</v>
      </c>
      <c r="G8" s="25">
        <v>0.219</v>
      </c>
      <c r="H8" s="25">
        <v>7.2999999999999995E-2</v>
      </c>
      <c r="I8" s="25">
        <v>1.7000000000000001E-2</v>
      </c>
      <c r="J8" s="25">
        <v>5.0999999999999997E-2</v>
      </c>
      <c r="K8" s="25">
        <v>2.3E-2</v>
      </c>
      <c r="L8" s="25">
        <v>2E-3</v>
      </c>
      <c r="M8" s="29">
        <f t="shared" si="0"/>
        <v>0.50700000000000001</v>
      </c>
    </row>
    <row r="9" spans="2:13" x14ac:dyDescent="0.3">
      <c r="B9" s="28" t="s">
        <v>46</v>
      </c>
      <c r="C9" s="27" t="s">
        <v>24</v>
      </c>
      <c r="D9" s="25">
        <v>0.32400000000000001</v>
      </c>
      <c r="E9" s="25">
        <v>0.13900000000000001</v>
      </c>
      <c r="F9" s="25">
        <v>6.9000000000000006E-2</v>
      </c>
      <c r="G9" s="25">
        <v>0.20499999999999999</v>
      </c>
      <c r="H9" s="25">
        <v>5.0999999999999997E-2</v>
      </c>
      <c r="I9" s="25">
        <v>2.7E-2</v>
      </c>
      <c r="J9" s="25">
        <v>7.2999999999999995E-2</v>
      </c>
      <c r="K9" s="25">
        <v>7.0000000000000001E-3</v>
      </c>
      <c r="L9" s="25">
        <v>3.0000000000000001E-3</v>
      </c>
      <c r="M9" s="29">
        <f t="shared" si="0"/>
        <v>0.51400000000000001</v>
      </c>
    </row>
    <row r="10" spans="2:13" x14ac:dyDescent="0.3">
      <c r="B10" s="28" t="s">
        <v>47</v>
      </c>
      <c r="C10" s="27" t="s">
        <v>25</v>
      </c>
      <c r="D10" s="25">
        <v>0.41499999999999998</v>
      </c>
      <c r="E10" s="25">
        <v>0.10199999999999999</v>
      </c>
      <c r="F10" s="25">
        <v>0.19900000000000001</v>
      </c>
      <c r="G10" s="25">
        <v>0.19600000000000001</v>
      </c>
      <c r="H10" s="25">
        <v>8.9999999999999993E-3</v>
      </c>
      <c r="I10" s="25">
        <v>1.4E-2</v>
      </c>
      <c r="J10" s="25">
        <v>4.7E-2</v>
      </c>
      <c r="K10" s="25">
        <v>3.0000000000000001E-3</v>
      </c>
      <c r="L10" s="25">
        <v>1.6E-2</v>
      </c>
      <c r="M10" s="29">
        <f t="shared" si="0"/>
        <v>0.52600000000000002</v>
      </c>
    </row>
    <row r="11" spans="2:13" x14ac:dyDescent="0.3">
      <c r="B11" s="28" t="s">
        <v>48</v>
      </c>
      <c r="C11" s="27" t="s">
        <v>26</v>
      </c>
      <c r="D11" s="25">
        <v>0.32200000000000001</v>
      </c>
      <c r="E11" s="25">
        <v>0.1</v>
      </c>
      <c r="F11" s="25">
        <v>0.24299999999999999</v>
      </c>
      <c r="G11" s="25">
        <v>0.16300000000000001</v>
      </c>
      <c r="H11" s="25">
        <v>4.8000000000000001E-2</v>
      </c>
      <c r="I11" s="25">
        <v>2.1999999999999999E-2</v>
      </c>
      <c r="J11" s="25">
        <v>8.1000000000000003E-2</v>
      </c>
      <c r="K11" s="25">
        <v>8.9999999999999993E-3</v>
      </c>
      <c r="L11" s="25">
        <v>8.9999999999999993E-3</v>
      </c>
      <c r="M11" s="29">
        <f t="shared" si="0"/>
        <v>0.47000000000000003</v>
      </c>
    </row>
    <row r="12" spans="2:13" x14ac:dyDescent="0.3">
      <c r="B12" s="28" t="s">
        <v>49</v>
      </c>
      <c r="C12" s="27" t="s">
        <v>27</v>
      </c>
      <c r="D12" s="25">
        <v>0.33900000000000002</v>
      </c>
      <c r="E12" s="25">
        <v>0.13100000000000001</v>
      </c>
      <c r="F12" s="25">
        <v>0.188</v>
      </c>
      <c r="G12" s="25">
        <v>0.188</v>
      </c>
      <c r="H12" s="25">
        <v>9.4E-2</v>
      </c>
      <c r="I12" s="25">
        <v>8.9999999999999993E-3</v>
      </c>
      <c r="J12" s="25">
        <v>3.9E-2</v>
      </c>
      <c r="K12" s="25">
        <v>4.0000000000000001E-3</v>
      </c>
      <c r="L12" s="25">
        <v>7.0000000000000001E-3</v>
      </c>
      <c r="M12" s="29">
        <f t="shared" si="0"/>
        <v>0.56400000000000006</v>
      </c>
    </row>
    <row r="13" spans="2:13" x14ac:dyDescent="0.3">
      <c r="B13" s="28" t="s">
        <v>50</v>
      </c>
      <c r="C13" s="27" t="s">
        <v>28</v>
      </c>
      <c r="D13" s="25">
        <v>0.30599999999999999</v>
      </c>
      <c r="E13" s="25">
        <v>9.4E-2</v>
      </c>
      <c r="F13" s="25">
        <v>0.19800000000000001</v>
      </c>
      <c r="G13" s="25">
        <v>0.21</v>
      </c>
      <c r="H13" s="25">
        <v>4.7E-2</v>
      </c>
      <c r="I13" s="25">
        <v>1.6E-2</v>
      </c>
      <c r="J13" s="25">
        <v>0.12</v>
      </c>
      <c r="K13" s="25">
        <v>6.0000000000000001E-3</v>
      </c>
      <c r="L13" s="25">
        <v>3.0000000000000001E-3</v>
      </c>
      <c r="M13" s="29">
        <f t="shared" si="0"/>
        <v>0.44700000000000001</v>
      </c>
    </row>
    <row r="14" spans="2:13" x14ac:dyDescent="0.3">
      <c r="B14" s="28" t="s">
        <v>51</v>
      </c>
      <c r="C14" s="27" t="s">
        <v>29</v>
      </c>
      <c r="D14" s="25">
        <v>0.20100000000000001</v>
      </c>
      <c r="E14" s="25">
        <v>7.4999999999999997E-2</v>
      </c>
      <c r="F14" s="25">
        <v>9.9000000000000005E-2</v>
      </c>
      <c r="G14" s="25">
        <v>0.379</v>
      </c>
      <c r="H14" s="25">
        <v>6.6000000000000003E-2</v>
      </c>
      <c r="I14" s="25">
        <v>3.4000000000000002E-2</v>
      </c>
      <c r="J14" s="25">
        <v>9.0999999999999998E-2</v>
      </c>
      <c r="K14" s="25">
        <v>4.4999999999999998E-2</v>
      </c>
      <c r="L14" s="25">
        <v>4.0000000000000001E-3</v>
      </c>
      <c r="M14" s="29">
        <f t="shared" si="0"/>
        <v>0.34200000000000003</v>
      </c>
    </row>
    <row r="15" spans="2:13" x14ac:dyDescent="0.3">
      <c r="B15" s="28" t="s">
        <v>52</v>
      </c>
      <c r="C15" s="27" t="s">
        <v>30</v>
      </c>
      <c r="D15" s="25">
        <v>0.26100000000000001</v>
      </c>
      <c r="E15" s="25">
        <v>6.0999999999999999E-2</v>
      </c>
      <c r="F15" s="25">
        <v>8.6999999999999994E-2</v>
      </c>
      <c r="G15" s="25">
        <v>0.20599999999999999</v>
      </c>
      <c r="H15" s="25">
        <v>8.0000000000000002E-3</v>
      </c>
      <c r="I15" s="25">
        <v>4.9000000000000002E-2</v>
      </c>
      <c r="J15" s="25">
        <v>0.28699999999999998</v>
      </c>
      <c r="K15" s="25">
        <v>3.3000000000000002E-2</v>
      </c>
      <c r="L15" s="25">
        <v>4.0000000000000001E-3</v>
      </c>
      <c r="M15" s="29">
        <f t="shared" si="0"/>
        <v>0.33</v>
      </c>
    </row>
    <row r="16" spans="2:13" x14ac:dyDescent="0.3">
      <c r="B16" s="28" t="s">
        <v>53</v>
      </c>
      <c r="C16" s="27" t="s">
        <v>31</v>
      </c>
      <c r="D16" s="25">
        <v>0.217</v>
      </c>
      <c r="E16" s="25">
        <v>0.125</v>
      </c>
      <c r="F16" s="25">
        <v>0.161</v>
      </c>
      <c r="G16" s="25">
        <v>0.155</v>
      </c>
      <c r="H16" s="25">
        <v>2.1000000000000001E-2</v>
      </c>
      <c r="I16" s="25">
        <v>3.3000000000000002E-2</v>
      </c>
      <c r="J16" s="25">
        <v>0.25700000000000001</v>
      </c>
      <c r="K16" s="25">
        <v>1.9E-2</v>
      </c>
      <c r="L16" s="25">
        <v>1.0999999999999999E-2</v>
      </c>
      <c r="M16" s="29">
        <f t="shared" si="0"/>
        <v>0.36299999999999999</v>
      </c>
    </row>
    <row r="17" spans="2:13" x14ac:dyDescent="0.3">
      <c r="B17" s="28" t="s">
        <v>54</v>
      </c>
      <c r="C17" s="27" t="s">
        <v>32</v>
      </c>
      <c r="D17" s="25">
        <v>0.22700000000000001</v>
      </c>
      <c r="E17" s="25">
        <v>0.22600000000000001</v>
      </c>
      <c r="F17" s="25">
        <v>0.20699999999999999</v>
      </c>
      <c r="G17" s="25">
        <v>0.155</v>
      </c>
      <c r="H17" s="25">
        <v>6.6000000000000003E-2</v>
      </c>
      <c r="I17" s="25">
        <v>8.0000000000000002E-3</v>
      </c>
      <c r="J17" s="25">
        <v>6.5000000000000002E-2</v>
      </c>
      <c r="K17" s="25">
        <v>3.5999999999999997E-2</v>
      </c>
      <c r="L17" s="25">
        <v>6.0000000000000001E-3</v>
      </c>
      <c r="M17" s="29">
        <f t="shared" si="0"/>
        <v>0.51900000000000002</v>
      </c>
    </row>
    <row r="18" spans="2:13" x14ac:dyDescent="0.3">
      <c r="B18" s="28" t="s">
        <v>55</v>
      </c>
      <c r="C18" s="27" t="s">
        <v>33</v>
      </c>
      <c r="D18" s="25">
        <v>0.107</v>
      </c>
      <c r="E18" s="25">
        <v>5.7000000000000002E-2</v>
      </c>
      <c r="F18" s="25">
        <v>0.03</v>
      </c>
      <c r="G18" s="25">
        <v>0.153</v>
      </c>
      <c r="H18" s="25">
        <v>2.3E-2</v>
      </c>
      <c r="I18" s="25">
        <v>3.3000000000000002E-2</v>
      </c>
      <c r="J18" s="25">
        <v>0.53500000000000003</v>
      </c>
      <c r="K18" s="25">
        <v>2.1000000000000001E-2</v>
      </c>
      <c r="L18" s="25">
        <v>3.4000000000000002E-2</v>
      </c>
      <c r="M18" s="29">
        <f t="shared" si="0"/>
        <v>0.187</v>
      </c>
    </row>
    <row r="19" spans="2:13" x14ac:dyDescent="0.3">
      <c r="B19" s="28" t="s">
        <v>56</v>
      </c>
      <c r="C19" s="27" t="s">
        <v>34</v>
      </c>
      <c r="D19" s="25">
        <v>0.316</v>
      </c>
      <c r="E19" s="25">
        <v>2.8000000000000001E-2</v>
      </c>
      <c r="F19" s="25">
        <v>0.13900000000000001</v>
      </c>
      <c r="G19" s="25">
        <v>0.24399999999999999</v>
      </c>
      <c r="H19" s="25">
        <v>4.9000000000000002E-2</v>
      </c>
      <c r="I19" s="25">
        <v>2.5000000000000001E-2</v>
      </c>
      <c r="J19" s="25">
        <v>9.8000000000000004E-2</v>
      </c>
      <c r="K19" s="25">
        <v>4.9000000000000002E-2</v>
      </c>
      <c r="L19" s="25">
        <v>4.0000000000000001E-3</v>
      </c>
      <c r="M19" s="29">
        <f t="shared" si="0"/>
        <v>0.39300000000000002</v>
      </c>
    </row>
    <row r="20" spans="2:13" x14ac:dyDescent="0.3">
      <c r="B20" s="28" t="s">
        <v>57</v>
      </c>
      <c r="C20" s="27" t="s">
        <v>35</v>
      </c>
      <c r="D20" s="25">
        <v>0.252</v>
      </c>
      <c r="E20" s="25">
        <v>0.114</v>
      </c>
      <c r="F20" s="25">
        <v>0.13300000000000001</v>
      </c>
      <c r="G20" s="25">
        <v>0.17</v>
      </c>
      <c r="H20" s="25">
        <v>4.5999999999999999E-2</v>
      </c>
      <c r="I20" s="25">
        <v>0.01</v>
      </c>
      <c r="J20" s="25">
        <v>0.20899999999999999</v>
      </c>
      <c r="K20" s="25">
        <v>2.4E-2</v>
      </c>
      <c r="L20" s="25">
        <v>1.0999999999999999E-2</v>
      </c>
      <c r="M20" s="29">
        <f t="shared" si="0"/>
        <v>0.41199999999999998</v>
      </c>
    </row>
    <row r="21" spans="2:13" x14ac:dyDescent="0.3">
      <c r="B21" s="28" t="s">
        <v>58</v>
      </c>
      <c r="C21" s="27" t="s">
        <v>36</v>
      </c>
      <c r="D21" s="25">
        <v>0.153</v>
      </c>
      <c r="E21" s="25">
        <v>0</v>
      </c>
      <c r="F21" s="25">
        <v>0.32500000000000001</v>
      </c>
      <c r="G21" s="25">
        <v>0.47799999999999998</v>
      </c>
      <c r="H21" s="25">
        <v>0</v>
      </c>
      <c r="I21" s="25">
        <v>0</v>
      </c>
      <c r="J21" s="25">
        <v>0</v>
      </c>
      <c r="K21" s="25">
        <v>0</v>
      </c>
      <c r="L21" s="25">
        <v>4.2999999999999997E-2</v>
      </c>
      <c r="M21" s="29">
        <f t="shared" si="0"/>
        <v>0.153</v>
      </c>
    </row>
    <row r="22" spans="2:13" x14ac:dyDescent="0.3">
      <c r="B22" s="28" t="s">
        <v>59</v>
      </c>
      <c r="C22" s="27" t="s">
        <v>37</v>
      </c>
      <c r="D22" s="25">
        <v>0.308</v>
      </c>
      <c r="E22" s="25">
        <v>0.156</v>
      </c>
      <c r="F22" s="25">
        <v>0.23799999999999999</v>
      </c>
      <c r="G22" s="25">
        <v>0.157</v>
      </c>
      <c r="H22" s="25">
        <v>5.8999999999999997E-2</v>
      </c>
      <c r="I22" s="25">
        <v>1.0999999999999999E-2</v>
      </c>
      <c r="J22" s="25">
        <v>5.3999999999999999E-2</v>
      </c>
      <c r="K22" s="25">
        <v>1.0999999999999999E-2</v>
      </c>
      <c r="L22" s="25">
        <v>7.0000000000000001E-3</v>
      </c>
      <c r="M22" s="29">
        <f t="shared" si="0"/>
        <v>0.52299999999999991</v>
      </c>
    </row>
    <row r="23" spans="2:13" x14ac:dyDescent="0.3">
      <c r="B23" s="28" t="s">
        <v>60</v>
      </c>
      <c r="C23" s="27" t="s">
        <v>38</v>
      </c>
      <c r="D23" s="25">
        <v>0.193</v>
      </c>
      <c r="E23" s="25">
        <v>0.20300000000000001</v>
      </c>
      <c r="F23" s="25">
        <v>0.17699999999999999</v>
      </c>
      <c r="G23" s="25">
        <v>0.20499999999999999</v>
      </c>
      <c r="H23" s="25">
        <v>4.3999999999999997E-2</v>
      </c>
      <c r="I23" s="25">
        <v>8.9999999999999993E-3</v>
      </c>
      <c r="J23" s="25">
        <v>0.10100000000000001</v>
      </c>
      <c r="K23" s="25">
        <v>7.0000000000000001E-3</v>
      </c>
      <c r="L23" s="25">
        <v>5.8999999999999997E-2</v>
      </c>
      <c r="M23" s="29">
        <f t="shared" si="0"/>
        <v>0.44</v>
      </c>
    </row>
    <row r="24" spans="2:13" x14ac:dyDescent="0.3">
      <c r="B24" s="28" t="s">
        <v>61</v>
      </c>
      <c r="C24" s="27" t="s">
        <v>39</v>
      </c>
      <c r="D24" s="25">
        <v>0.42499999999999999</v>
      </c>
      <c r="E24" s="25">
        <v>5.5E-2</v>
      </c>
      <c r="F24" s="25">
        <v>0.215</v>
      </c>
      <c r="G24" s="25">
        <v>0.11799999999999999</v>
      </c>
      <c r="H24" s="25">
        <v>0.10100000000000001</v>
      </c>
      <c r="I24" s="25">
        <v>1.0999999999999999E-2</v>
      </c>
      <c r="J24" s="25">
        <v>5.6000000000000001E-2</v>
      </c>
      <c r="K24" s="25">
        <v>6.0000000000000001E-3</v>
      </c>
      <c r="L24" s="25">
        <v>0</v>
      </c>
      <c r="M24" s="29">
        <f t="shared" si="0"/>
        <v>0.58099999999999996</v>
      </c>
    </row>
    <row r="25" spans="2:13" ht="15" thickBot="1" x14ac:dyDescent="0.35">
      <c r="B25" s="30" t="s">
        <v>62</v>
      </c>
      <c r="C25" s="31" t="s">
        <v>40</v>
      </c>
      <c r="D25" s="26">
        <v>0.38600000000000001</v>
      </c>
      <c r="E25" s="26">
        <v>8.2000000000000003E-2</v>
      </c>
      <c r="F25" s="26">
        <v>0.123</v>
      </c>
      <c r="G25" s="26">
        <v>0.19600000000000001</v>
      </c>
      <c r="H25" s="26">
        <v>3.5000000000000003E-2</v>
      </c>
      <c r="I25" s="26">
        <v>5.0000000000000001E-3</v>
      </c>
      <c r="J25" s="26">
        <v>0.13600000000000001</v>
      </c>
      <c r="K25" s="26">
        <v>2.5999999999999999E-2</v>
      </c>
      <c r="L25" s="26">
        <v>0</v>
      </c>
      <c r="M25" s="32">
        <f t="shared" si="0"/>
        <v>0.503</v>
      </c>
    </row>
    <row r="27" spans="2:13" x14ac:dyDescent="0.3">
      <c r="B27" s="127" t="s">
        <v>95</v>
      </c>
      <c r="C27" s="127"/>
      <c r="D27" s="127"/>
    </row>
    <row r="29" spans="2:13" ht="15" thickBot="1" x14ac:dyDescent="0.35"/>
    <row r="30" spans="2:13" ht="16.2" thickBot="1" x14ac:dyDescent="0.35">
      <c r="B30" s="38" t="s">
        <v>84</v>
      </c>
      <c r="C30" s="126" t="s">
        <v>87</v>
      </c>
      <c r="D30" s="126"/>
      <c r="E30" s="126"/>
      <c r="F30" s="126"/>
      <c r="G30" s="126"/>
      <c r="H30" s="126"/>
      <c r="I30" s="126"/>
      <c r="J30" s="126"/>
      <c r="K30" s="126"/>
      <c r="L30" s="37" t="s">
        <v>89</v>
      </c>
    </row>
    <row r="31" spans="2:13" x14ac:dyDescent="0.3">
      <c r="B31" s="33" t="s">
        <v>41</v>
      </c>
      <c r="C31" s="23" t="s">
        <v>90</v>
      </c>
      <c r="D31" s="23" t="s">
        <v>91</v>
      </c>
      <c r="E31" s="23" t="s">
        <v>92</v>
      </c>
      <c r="F31" s="23" t="s">
        <v>93</v>
      </c>
      <c r="G31" s="23" t="s">
        <v>94</v>
      </c>
      <c r="H31" s="23" t="s">
        <v>96</v>
      </c>
      <c r="I31" s="23" t="s">
        <v>97</v>
      </c>
      <c r="J31" s="23" t="s">
        <v>98</v>
      </c>
      <c r="K31" s="23" t="s">
        <v>99</v>
      </c>
      <c r="L31" s="34" t="s">
        <v>88</v>
      </c>
    </row>
    <row r="32" spans="2:13" x14ac:dyDescent="0.3">
      <c r="B32" s="28" t="s">
        <v>15</v>
      </c>
      <c r="C32" s="24">
        <v>0.15712383488681758</v>
      </c>
      <c r="D32" s="25">
        <v>9.0545938748335553E-2</v>
      </c>
      <c r="E32" s="25">
        <v>0.36617842876165113</v>
      </c>
      <c r="F32" s="25">
        <v>0.17576564580559254</v>
      </c>
      <c r="G32" s="25">
        <v>6.6577896138482022E-3</v>
      </c>
      <c r="H32" s="25">
        <v>0</v>
      </c>
      <c r="I32" s="25">
        <v>0.18641810918774968</v>
      </c>
      <c r="J32" s="25">
        <v>0</v>
      </c>
      <c r="K32" s="25">
        <v>1.7310252996005325E-2</v>
      </c>
      <c r="L32" s="29">
        <v>0.25432756324900135</v>
      </c>
    </row>
    <row r="33" spans="2:12" x14ac:dyDescent="0.3">
      <c r="B33" s="28" t="s">
        <v>17</v>
      </c>
      <c r="C33" s="24">
        <v>0.11693548387096774</v>
      </c>
      <c r="D33" s="25">
        <v>9.6774193548387094E-2</v>
      </c>
      <c r="E33" s="25">
        <v>0.31048387096774194</v>
      </c>
      <c r="F33" s="25">
        <v>0.22983870967741934</v>
      </c>
      <c r="G33" s="25">
        <v>0</v>
      </c>
      <c r="H33" s="25">
        <v>1.2096774193548387E-2</v>
      </c>
      <c r="I33" s="25">
        <v>0.16129032258064516</v>
      </c>
      <c r="J33" s="25">
        <v>7.2580645161290328E-2</v>
      </c>
      <c r="K33" s="25">
        <v>0</v>
      </c>
      <c r="L33" s="29">
        <v>0.21370967741935482</v>
      </c>
    </row>
    <row r="34" spans="2:12" x14ac:dyDescent="0.3">
      <c r="B34" s="28" t="s">
        <v>10</v>
      </c>
      <c r="C34" s="24">
        <v>3.3003300330033E-2</v>
      </c>
      <c r="D34" s="25">
        <v>5.2805280528052806E-2</v>
      </c>
      <c r="E34" s="25">
        <v>0.14521452145214522</v>
      </c>
      <c r="F34" s="25">
        <v>6.9306930693069313E-2</v>
      </c>
      <c r="G34" s="25">
        <v>6.6006600660066E-2</v>
      </c>
      <c r="H34" s="25">
        <v>3.9603960396039604E-2</v>
      </c>
      <c r="I34" s="25">
        <v>0.55115511551155105</v>
      </c>
      <c r="J34" s="25">
        <v>0</v>
      </c>
      <c r="K34" s="25">
        <v>4.2904290429042903E-2</v>
      </c>
      <c r="L34" s="29">
        <v>0.15181518151815182</v>
      </c>
    </row>
    <row r="35" spans="2:12" x14ac:dyDescent="0.3">
      <c r="B35" s="28" t="s">
        <v>100</v>
      </c>
      <c r="C35" s="24">
        <v>7.5471698113207544E-2</v>
      </c>
      <c r="D35" s="25">
        <v>0.52830188679245282</v>
      </c>
      <c r="E35" s="25">
        <v>0</v>
      </c>
      <c r="F35" s="25">
        <v>0.39622641509433965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9">
        <v>0.60377358490566035</v>
      </c>
    </row>
    <row r="36" spans="2:12" x14ac:dyDescent="0.3">
      <c r="B36" s="28" t="s">
        <v>14</v>
      </c>
      <c r="C36" s="24">
        <v>0.17741935483870969</v>
      </c>
      <c r="D36" s="25">
        <v>0.19354838709677419</v>
      </c>
      <c r="E36" s="25">
        <v>0.532258064516129</v>
      </c>
      <c r="F36" s="25">
        <v>9.6774193548387094E-2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9">
        <v>0.37096774193548387</v>
      </c>
    </row>
    <row r="37" spans="2:12" x14ac:dyDescent="0.3">
      <c r="B37" s="28" t="s">
        <v>101</v>
      </c>
      <c r="C37" s="24">
        <v>7.0175438596491224E-2</v>
      </c>
      <c r="D37" s="25">
        <v>0</v>
      </c>
      <c r="E37" s="25">
        <v>0.38596491228070173</v>
      </c>
      <c r="F37" s="25">
        <v>5.2631578947368418E-2</v>
      </c>
      <c r="G37" s="25">
        <v>0</v>
      </c>
      <c r="H37" s="25">
        <v>0</v>
      </c>
      <c r="I37" s="25">
        <v>0.2807017543859649</v>
      </c>
      <c r="J37" s="25">
        <v>0.21052631578947367</v>
      </c>
      <c r="K37" s="25">
        <v>0</v>
      </c>
      <c r="L37" s="29">
        <v>7.0175438596491224E-2</v>
      </c>
    </row>
    <row r="38" spans="2:12" x14ac:dyDescent="0.3">
      <c r="B38" s="28" t="s">
        <v>11</v>
      </c>
      <c r="C38" s="24">
        <v>8.9552238805970158E-2</v>
      </c>
      <c r="D38" s="25">
        <v>0.1279317697228145</v>
      </c>
      <c r="E38" s="25">
        <v>0.32835820895522388</v>
      </c>
      <c r="F38" s="25">
        <v>8.9552238805970144E-2</v>
      </c>
      <c r="G38" s="25">
        <v>0</v>
      </c>
      <c r="H38" s="25">
        <v>2.5586353944562899E-2</v>
      </c>
      <c r="I38" s="25">
        <v>0.31130063965884863</v>
      </c>
      <c r="J38" s="25">
        <v>0</v>
      </c>
      <c r="K38" s="25">
        <v>2.7718550106609809E-2</v>
      </c>
      <c r="L38" s="29">
        <v>0.21748400852878466</v>
      </c>
    </row>
    <row r="39" spans="2:12" x14ac:dyDescent="0.3">
      <c r="B39" s="28" t="s">
        <v>13</v>
      </c>
      <c r="C39" s="24">
        <v>0.30000000000000004</v>
      </c>
      <c r="D39" s="25">
        <v>0</v>
      </c>
      <c r="E39" s="25">
        <v>0</v>
      </c>
      <c r="F39" s="25">
        <v>0.45</v>
      </c>
      <c r="G39" s="25">
        <v>0.25</v>
      </c>
      <c r="H39" s="25">
        <v>0</v>
      </c>
      <c r="I39" s="25">
        <v>0</v>
      </c>
      <c r="J39" s="25">
        <v>0</v>
      </c>
      <c r="K39" s="25">
        <v>0</v>
      </c>
      <c r="L39" s="29">
        <v>0.55000000000000004</v>
      </c>
    </row>
    <row r="40" spans="2:12" x14ac:dyDescent="0.3">
      <c r="B40" s="28" t="s">
        <v>16</v>
      </c>
      <c r="C40" s="24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9">
        <v>0</v>
      </c>
    </row>
    <row r="42" spans="2:12" x14ac:dyDescent="0.3"/>
    <row r="45" spans="2:12" x14ac:dyDescent="0.3">
      <c r="B45" s="33" t="s">
        <v>41</v>
      </c>
      <c r="C45" s="23" t="s">
        <v>90</v>
      </c>
      <c r="D45" s="23" t="s">
        <v>91</v>
      </c>
      <c r="E45" s="23" t="s">
        <v>92</v>
      </c>
      <c r="F45" s="23" t="s">
        <v>93</v>
      </c>
      <c r="G45" s="23" t="s">
        <v>94</v>
      </c>
      <c r="H45" s="23" t="s">
        <v>96</v>
      </c>
      <c r="I45" s="23" t="s">
        <v>97</v>
      </c>
      <c r="J45" s="23" t="s">
        <v>98</v>
      </c>
      <c r="K45" s="23" t="s">
        <v>99</v>
      </c>
      <c r="L45" s="34" t="s">
        <v>88</v>
      </c>
    </row>
    <row r="46" spans="2:12" x14ac:dyDescent="0.3">
      <c r="B46" s="28" t="s">
        <v>102</v>
      </c>
      <c r="C46" s="24">
        <v>4.9119060331019759E-2</v>
      </c>
      <c r="D46" s="25">
        <v>0</v>
      </c>
      <c r="E46" s="25">
        <v>0.3778252358070831</v>
      </c>
      <c r="F46" s="25">
        <v>8.6492258408969569E-2</v>
      </c>
      <c r="G46" s="25">
        <v>0.15661149670759922</v>
      </c>
      <c r="H46" s="25">
        <v>1.9220501868659905E-2</v>
      </c>
      <c r="I46" s="25">
        <v>0.2189001601708489</v>
      </c>
      <c r="J46" s="25">
        <v>6.4068339562199678E-2</v>
      </c>
      <c r="K46" s="25">
        <v>2.7762947143619862E-2</v>
      </c>
      <c r="L46" s="29">
        <v>0.20573055703861898</v>
      </c>
    </row>
  </sheetData>
  <mergeCells count="3">
    <mergeCell ref="D3:L3"/>
    <mergeCell ref="B27:D27"/>
    <mergeCell ref="C30:K3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POB Municipios</vt:lpstr>
      <vt:lpstr>POB Comunas</vt:lpstr>
      <vt:lpstr>TiposTransporte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Tellez Cobo</dc:creator>
  <cp:lastModifiedBy>Daniela Valdés Cárdenas</cp:lastModifiedBy>
  <dcterms:created xsi:type="dcterms:W3CDTF">2024-07-18T02:00:15Z</dcterms:created>
  <dcterms:modified xsi:type="dcterms:W3CDTF">2025-12-29T21:10:49Z</dcterms:modified>
</cp:coreProperties>
</file>